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2.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creens" sheetId="2" state="visible" r:id="rId4"/>
    <sheet name="Components" sheetId="3" state="visible" r:id="rId5"/>
    <sheet name="Tokens defined" sheetId="4" state="visible" r:id="rId6"/>
    <sheet name="Tokens used" sheetId="5" state="visible" r:id="rId7"/>
    <sheet name="Tokenization gaps" sheetId="6" state="visible" r:id="rId8"/>
    <sheet name="Raw colours &amp; classes" sheetId="7" state="visible" r:id="rId9"/>
    <sheet name="Local style systems" sheetId="8" state="visible" r:id="rId10"/>
    <sheet name="Status vocabulary" sheetId="9" state="visible" r:id="rId11"/>
    <sheet name="UI copy" sheetId="10" state="visible" r:id="rId12"/>
    <sheet name="API messages" sheetId="11" state="visible" r:id="rId13"/>
    <sheet name="Drift &amp; system gaps" sheetId="12" state="visible" r:id="rId14"/>
    <sheet name="Scenario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<sst xmlns="http://schemas.openxmlformats.org/spreadsheetml/2006/main" count="4624" uniqueCount="1781">
  <si>
    <t xml:space="preserve">CoreEdge UI inventory</t>
  </si>
  <si>
    <t xml:space="preserve">Code: ib823/aptus @ 1a873e3 · scope: Developer Studio, Operations Center, Control Tower, Help, Dev Login and everything they import · built 11 Sep 2026</t>
  </si>
  <si>
    <t xml:space="preserve">Measure</t>
  </si>
  <si>
    <t xml:space="preserve">Value</t>
  </si>
  <si>
    <t xml:space="preserve">Screens (routes)</t>
  </si>
  <si>
    <t xml:space="preserve">UI files in scope</t>
  </si>
  <si>
    <t xml:space="preserve">Lines of UI code</t>
  </si>
  <si>
    <t xml:space="preserve">Inline style blocks</t>
  </si>
  <si>
    <t xml:space="preserve">Inline style literals</t>
  </si>
  <si>
    <t xml:space="preserve">px/rem literals</t>
  </si>
  <si>
    <t xml:space="preserve">Local style constants (re-declared per file)</t>
  </si>
  <si>
    <t xml:space="preserve">var() token references</t>
  </si>
  <si>
    <t xml:space="preserve">Raw colours (hex/rgb)</t>
  </si>
  <si>
    <t xml:space="preserve">Tokens defined (all scopes)</t>
  </si>
  <si>
    <t xml:space="preserve">Distinct tokens used by CoreEdge UI</t>
  </si>
  <si>
    <t xml:space="preserve">Distinct font sizes in code</t>
  </si>
  <si>
    <t xml:space="preserve">Distinct paddings in code</t>
  </si>
  <si>
    <t xml:space="preserve">Distinct gaps in code</t>
  </si>
  <si>
    <t xml:space="preserve">Distinct radii in code</t>
  </si>
  <si>
    <t xml:space="preserve">Status codes catalogued</t>
  </si>
  <si>
    <t xml:space="preserve">UI strings found (floor)</t>
  </si>
  <si>
    <t xml:space="preserve">API messages to callers</t>
  </si>
  <si>
    <t xml:space="preserve">Scenarios to design</t>
  </si>
  <si>
    <t xml:space="preserve">Verdict</t>
  </si>
  <si>
    <t xml:space="preserve">• Colours are tokenised (≈900 var() references, 38 raw values) — keep.</t>
  </si>
  <si>
    <t xml:space="preserve">• Everything else is not: type size, line height, letter-spacing, spacing, radius and shadow are inline px literals, with far more distinct values than the documented scale.</t>
  </si>
  <si>
    <t xml:space="preserve">• There is no component library in use: each screen re-declares its own buttons, headings, fields and chips (see Local style systems); the shared UI kit is used once.</t>
  </si>
  <si>
    <t xml:space="preserve">• Three styling systems coexist (globals tokens, .aptus-app tokens, shadcn kit). CoreEdge should adopt one.</t>
  </si>
  <si>
    <t xml:space="preserve">• No copy catalogue: strings and status labels are hard-coded per file; the same state reads differently on different screens.</t>
  </si>
  <si>
    <t xml:space="preserve">• Docs drift from code on 3 colour tokens; the console has no dark theme and Ops/Control Tower have no responsive rules.</t>
  </si>
  <si>
    <t xml:space="preserve">• Next: design the Lanes screens against the Scenarios sheet in Claude Design using a completed token set, then hand Claude Code a component-and-token migration plus the new IA.</t>
  </si>
  <si>
    <t xml:space="preserve">Workspace</t>
  </si>
  <si>
    <t xml:space="preserve">Route</t>
  </si>
  <si>
    <t xml:space="preserve">Title</t>
  </si>
  <si>
    <t xml:space="preserve">Main components</t>
  </si>
  <si>
    <t xml:space="preserve">Who uses it</t>
  </si>
  <si>
    <t xml:space="preserve">States the design must cover</t>
  </si>
  <si>
    <t xml:space="preserve">Destination in Lanes IA</t>
  </si>
  <si>
    <t xml:space="preserve">Auth</t>
  </si>
  <si>
    <t xml:space="preserve">/dev-login</t>
  </si>
  <si>
    <t xml:space="preserve">Dev Login</t>
  </si>
  <si>
    <t xml:space="preserve">DevLoginForm</t>
  </si>
  <si>
    <t xml:space="preserve">test accounts only</t>
  </si>
  <si>
    <t xml:space="preserve">Remove from production</t>
  </si>
  <si>
    <t xml:space="preserve">Control Tower</t>
  </si>
  <si>
    <t xml:space="preserve">/control-tower</t>
  </si>
  <si>
    <t xml:space="preserve">Home</t>
  </si>
  <si>
    <t xml:space="preserve">TopologyMap</t>
  </si>
  <si>
    <t xml:space="preserve">platform_admin (+ governance readers)</t>
  </si>
  <si>
    <t xml:space="preserve">Operations › governance</t>
  </si>
  <si>
    <t xml:space="preserve">/control-tower/audit</t>
  </si>
  <si>
    <t xml:space="preserve">Governance audit</t>
  </si>
  <si>
    <t xml:space="preserve">AuditClient</t>
  </si>
  <si>
    <t xml:space="preserve">Operations › audit</t>
  </si>
  <si>
    <t xml:space="preserve">/control-tower/connections</t>
  </si>
  <si>
    <t xml:space="preserve">Connection register</t>
  </si>
  <si>
    <t xml:space="preserve">ConnectionRegisterClient</t>
  </si>
  <si>
    <t xml:space="preserve">SAP systems</t>
  </si>
  <si>
    <t xml:space="preserve">/control-tower/grants</t>
  </si>
  <si>
    <t xml:space="preserve">Access governance</t>
  </si>
  <si>
    <t xml:space="preserve">GrantsClient</t>
  </si>
  <si>
    <t xml:space="preserve">grant lifecycle; revoke (admin)</t>
  </si>
  <si>
    <t xml:space="preserve">Requests › history</t>
  </si>
  <si>
    <t xml:space="preserve">/control-tower/portfolio</t>
  </si>
  <si>
    <t xml:space="preserve">Solution portfolio</t>
  </si>
  <si>
    <t xml:space="preserve">PortfolioClient</t>
  </si>
  <si>
    <t xml:space="preserve">Apps (all)</t>
  </si>
  <si>
    <t xml:space="preserve">/control-tower/tokens</t>
  </si>
  <si>
    <t xml:space="preserve">Credential register</t>
  </si>
  <si>
    <t xml:space="preserve">CredentialRegisterClient</t>
  </si>
  <si>
    <t xml:space="preserve">Operations › keys</t>
  </si>
  <si>
    <t xml:space="preserve">/control-tower/usage</t>
  </si>
  <si>
    <t xml:space="preserve">CoreEdge usage</t>
  </si>
  <si>
    <t xml:space="preserve">UsageClient</t>
  </si>
  <si>
    <t xml:space="preserve">Operations › usage</t>
  </si>
  <si>
    <t xml:space="preserve">Developer Studio</t>
  </si>
  <si>
    <t xml:space="preserve">/studio</t>
  </si>
  <si>
    <t xml:space="preserve">consultant (write) · platform_admin (read)</t>
  </si>
  <si>
    <t xml:space="preserve">loading topology; empty org; defects (no expiry, owners missing, unbounded grant)</t>
  </si>
  <si>
    <t xml:space="preserve">Home (Needs you + My apps)</t>
  </si>
  <si>
    <t xml:space="preserve">/studio/access</t>
  </si>
  <si>
    <t xml:space="preserve">API Access</t>
  </si>
  <si>
    <t xml:space="preserve">AccessGrantsClient, ClientCredentials</t>
  </si>
  <si>
    <t xml:space="preserve">REQUESTED/APPROVED/SANDBOX_ONLY/READ_ONLY/REJECTED/EXPIRED/REVOKED; SELF_APPROVAL; GRANT_REQUIRES_EXPIRY; token reveal; replace credential</t>
  </si>
  <si>
    <t xml:space="preserve">Requests + Apps › lane (key)</t>
  </si>
  <si>
    <t xml:space="preserve">/studio/connections</t>
  </si>
  <si>
    <t xml:space="preserve">Connections</t>
  </si>
  <si>
    <t xml:space="preserve">ConnectionsClient</t>
  </si>
  <si>
    <t xml:space="preserve">Reachable/Probe failed/UNAUTHORIZED/NOT_FOUND/TIMEOUT/NO_PROBE_PATH/unreadable; env declared/undeclared; auth types</t>
  </si>
  <si>
    <t xml:space="preserve">/studio/discover</t>
  </si>
  <si>
    <t xml:space="preserve">Discover</t>
  </si>
  <si>
    <t xml:space="preserve">DiscoverClient</t>
  </si>
  <si>
    <t xml:space="preserve">ACTIVATED (metadata only/read verified)/NEEDS_SETUP/AVAILABLE/NOT_PROBEABLE/REFERENCE/NOT_CHECKED/STALE/NOT_FOUND/PROBE_FAILED; coverage loaded/partial/not loaded</t>
  </si>
  <si>
    <t xml:space="preserve">Catalogue</t>
  </si>
  <si>
    <t xml:space="preserve">/studio/interfaces</t>
  </si>
  <si>
    <t xml:space="preserve">Interfaces</t>
  </si>
  <si>
    <t xml:space="preserve">InterfacesClient</t>
  </si>
  <si>
    <t xml:space="preserve">DRAFT/ACTIVE/DEPRECATED; no entity set; write-readiness per env</t>
  </si>
  <si>
    <t xml:space="preserve">Apps › lane board</t>
  </si>
  <si>
    <t xml:space="preserve">/studio/solutions</t>
  </si>
  <si>
    <t xml:space="preserve">Solutions</t>
  </si>
  <si>
    <t xml:space="preserve">SolutionsClient</t>
  </si>
  <si>
    <t xml:space="preserve">DRAFT/ACTIVE/RESTRICTED/RETIRED; owners missing; duplicate names</t>
  </si>
  <si>
    <t xml:space="preserve">Apps</t>
  </si>
  <si>
    <t xml:space="preserve">/studio/test</t>
  </si>
  <si>
    <t xml:space="preserve">Test Console</t>
  </si>
  <si>
    <t xml:space="preserve">TestConsoleClient</t>
  </si>
  <si>
    <t xml:space="preserve">NO_CREDENTIAL; AMBIGUOUS_CREDENTIAL; grant refusals; binding refusals; OK/EMPTY/NEEDS_SETUP/NOT_FOUND/TIMEOUT/ERROR; PASS unevidenced</t>
  </si>
  <si>
    <t xml:space="preserve">Apps › lane › Try it</t>
  </si>
  <si>
    <t xml:space="preserve">Help</t>
  </si>
  <si>
    <t xml:space="preserve">/help</t>
  </si>
  <si>
    <t xml:space="preserve">Console manual</t>
  </si>
  <si>
    <t xml:space="preserve">all signed-in</t>
  </si>
  <si>
    <t xml:space="preserve">Help (contextual drawer)</t>
  </si>
  <si>
    <t xml:space="preserve">/help/[workspace]/[section]</t>
  </si>
  <si>
    <t xml:space="preserve">/help/developer-guide</t>
  </si>
  <si>
    <t xml:space="preserve">Developer guide</t>
  </si>
  <si>
    <t xml:space="preserve">Operations Center</t>
  </si>
  <si>
    <t xml:space="preserve">/operations</t>
  </si>
  <si>
    <t xml:space="preserve">JobsStrip, TopologyMap</t>
  </si>
  <si>
    <t xml:space="preserve">support · platform_admin</t>
  </si>
  <si>
    <t xml:space="preserve">Operations › board</t>
  </si>
  <si>
    <t xml:space="preserve">/operations/catalogue</t>
  </si>
  <si>
    <t xml:space="preserve">Catalogue health</t>
  </si>
  <si>
    <t xml:space="preserve">CatalogueHealthClient</t>
  </si>
  <si>
    <t xml:space="preserve">Catalogue › health</t>
  </si>
  <si>
    <t xml:space="preserve">/operations/connections</t>
  </si>
  <si>
    <t xml:space="preserve">ConnectionsHealthClient</t>
  </si>
  <si>
    <t xml:space="preserve">probe history; unreadable (409)</t>
  </si>
  <si>
    <t xml:space="preserve">/operations/incidents</t>
  </si>
  <si>
    <t xml:space="preserve">Incidents</t>
  </si>
  <si>
    <t xml:space="preserve">IncidentsClient</t>
  </si>
  <si>
    <t xml:space="preserve">binding refusals; grant refusals; upstream errors</t>
  </si>
  <si>
    <t xml:space="preserve">Operations › board (needs attention)</t>
  </si>
  <si>
    <t xml:space="preserve">/operations/throttle</t>
  </si>
  <si>
    <t xml:space="preserve">Throttle</t>
  </si>
  <si>
    <t xml:space="preserve">ThrottleClient</t>
  </si>
  <si>
    <t xml:space="preserve">Operations › traffic</t>
  </si>
  <si>
    <t xml:space="preserve">/operations/tokens</t>
  </si>
  <si>
    <t xml:space="preserve">Tokens</t>
  </si>
  <si>
    <t xml:space="preserve">TokensClient</t>
  </si>
  <si>
    <t xml:space="preserve">active/expired/revoked/never used</t>
  </si>
  <si>
    <t xml:space="preserve">/operations/traffic</t>
  </si>
  <si>
    <t xml:space="preserve">Broker traffic</t>
  </si>
  <si>
    <t xml:space="preserve">BrokerTrafficClient</t>
  </si>
  <si>
    <t xml:space="preserve">/operations/writes</t>
  </si>
  <si>
    <t xml:space="preserve">Write ledger</t>
  </si>
  <si>
    <t xml:space="preserve">WriteLedgerClient</t>
  </si>
  <si>
    <t xml:space="preserve">Operations › writes</t>
  </si>
  <si>
    <t xml:space="preserve">File</t>
  </si>
  <si>
    <t xml:space="preserve">Exports</t>
  </si>
  <si>
    <t xml:space="preserve">Lines</t>
  </si>
  <si>
    <t xml:space="preserve">Local style constants</t>
  </si>
  <si>
    <t xml:space="preserve">Style literals</t>
  </si>
  <si>
    <t xml:space="preserve">var() token refs</t>
  </si>
  <si>
    <t xml:space="preserve">Raw colours</t>
  </si>
  <si>
    <t xml:space="preserve">Tailwind token classes</t>
  </si>
  <si>
    <t xml:space="preserve">Tailwind palette/arbitrary</t>
  </si>
  <si>
    <t xml:space="preserve">Shared UI kit used</t>
  </si>
  <si>
    <t xml:space="preserve">components/studio/ConnectionsClient.tsx</t>
  </si>
  <si>
    <t xml:space="preserve">—</t>
  </si>
  <si>
    <t xml:space="preserve">components/ops/TopologyMap.tsx</t>
  </si>
  <si>
    <t xml:space="preserve">components/studio/SolutionsClient.tsx</t>
  </si>
  <si>
    <t xml:space="preserve">components/ops/OpsChrome.tsx</t>
  </si>
  <si>
    <t xml:space="preserve">OpsChip, AbsencePill, OpsCard, ProvenanceStrip, ProvenanceReasons, Stat, Unobservable, OpsTable, OpsPlaceholder, OpsHeading</t>
  </si>
  <si>
    <t xml:space="preserve">components/studio/InterfacesClient.tsx</t>
  </si>
  <si>
    <t xml:space="preserve">components/studio/AccessGrantsClient.tsx</t>
  </si>
  <si>
    <t xml:space="preserve">AccessGrantsClient</t>
  </si>
  <si>
    <t xml:space="preserve">components/studio/StudioTopBar.tsx</t>
  </si>
  <si>
    <t xml:space="preserve">StudioTopBar</t>
  </si>
  <si>
    <t xml:space="preserve">components/studio/TestConsoleClient.tsx</t>
  </si>
  <si>
    <t xml:space="preserve">app/(help)/help/page.tsx</t>
  </si>
  <si>
    <t xml:space="preserve">components/studio/ClientCredentials.tsx</t>
  </si>
  <si>
    <t xml:space="preserve">ambiguousNames, disambiguate, ClientCredentials</t>
  </si>
  <si>
    <t xml:space="preserve">components/control-tower/GrantsClient.tsx</t>
  </si>
  <si>
    <t xml:space="preserve">components/sap/SapCapabilityCatalogue.tsx</t>
  </si>
  <si>
    <t xml:space="preserve">SapCapabilityCatalogue</t>
  </si>
  <si>
    <t xml:space="preserve">components/ops/CatalogueHealthClient.tsx</t>
  </si>
  <si>
    <t xml:space="preserve">app/(help)/help/[workspace]/[section]/page.tsx</t>
  </si>
  <si>
    <t xml:space="preserve">components/ops/ConnectionsHealthClient.tsx</t>
  </si>
  <si>
    <t xml:space="preserve">components/studio/DiscoverClient.tsx</t>
  </si>
  <si>
    <t xml:space="preserve">components/sap/capability/CapabilityDetail.tsx</t>
  </si>
  <si>
    <t xml:space="preserve">CapabilityDetail</t>
  </si>
  <si>
    <t xml:space="preserve">components/help/ManualChrome.tsx</t>
  </si>
  <si>
    <t xml:space="preserve">ManualChrome</t>
  </si>
  <si>
    <t xml:space="preserve">app/(studio)/studio/connections/page.tsx</t>
  </si>
  <si>
    <t xml:space="preserve">components/ops/ThrottleClient.tsx</t>
  </si>
  <si>
    <t xml:space="preserve">app/(studio)/studio/page.tsx</t>
  </si>
  <si>
    <t xml:space="preserve">components/ops/IncidentsClient.tsx</t>
  </si>
  <si>
    <t xml:space="preserve">components/ops/BrokerTrafficClient.tsx</t>
  </si>
  <si>
    <t xml:space="preserve">app/(control-tower)/control-tower/page.tsx</t>
  </si>
  <si>
    <t xml:space="preserve">ControlTowerHomePage</t>
  </si>
  <si>
    <t xml:space="preserve">app/(operations)/operations/page.tsx</t>
  </si>
  <si>
    <t xml:space="preserve">OperationsHomePage</t>
  </si>
  <si>
    <t xml:space="preserve">components/control-tower/RegistersClient.tsx</t>
  </si>
  <si>
    <t xml:space="preserve">CredentialRegisterClient, ConnectionRegisterClient</t>
  </si>
  <si>
    <t xml:space="preserve">components/control-tower/AuditClient.tsx</t>
  </si>
  <si>
    <t xml:space="preserve">components/studio/StudioRail.tsx</t>
  </si>
  <si>
    <t xml:space="preserve">StudioRail</t>
  </si>
  <si>
    <t xml:space="preserve">app/(help)/help/developer-guide/page.tsx</t>
  </si>
  <si>
    <t xml:space="preserve">components/control-tower/GovernanceChrome.tsx</t>
  </si>
  <si>
    <t xml:space="preserve">ExpiryRunway, Authorises, DelegatedAction, SegregationVerdict, decisionTone, humanDecision</t>
  </si>
  <si>
    <t xml:space="preserve">app/(studio)/studio/discover/page.tsx</t>
  </si>
  <si>
    <t xml:space="preserve">components/studio/RoleGatedEmptyState.tsx</t>
  </si>
  <si>
    <t xml:space="preserve">RoleGatedEmptyState</t>
  </si>
  <si>
    <t xml:space="preserve">components/sap/capability/ReadinessScorecard.tsx</t>
  </si>
  <si>
    <t xml:space="preserve">readinessPercent, ReadinessScorecard</t>
  </si>
  <si>
    <t xml:space="preserve">components/ops/TokensClient.tsx</t>
  </si>
  <si>
    <t xml:space="preserve">components/ops/WriteLedgerClient.tsx</t>
  </si>
  <si>
    <t xml:space="preserve">components/studio/ScopeNote.tsx</t>
  </si>
  <si>
    <t xml:space="preserve">ScopeNote</t>
  </si>
  <si>
    <t xml:space="preserve">components/ops/useOpsFeed.tsx</t>
  </si>
  <si>
    <t xml:space="preserve">useOpsFeed, FeedAsAt, sinceLabel, count, OpsWindowPicker</t>
  </si>
  <si>
    <t xml:space="preserve">app/(studio)/studio/access/page.tsx</t>
  </si>
  <si>
    <t xml:space="preserve">app/(studio)/studio/interfaces/page.tsx</t>
  </si>
  <si>
    <t xml:space="preserve">app/(studio)/studio/solutions/page.tsx</t>
  </si>
  <si>
    <t xml:space="preserve">app/(studio)/studio/test/page.tsx</t>
  </si>
  <si>
    <t xml:space="preserve">components/control-tower/PortfolioClient.tsx</t>
  </si>
  <si>
    <t xml:space="preserve">components/studio/StudioStatusChip.tsx</t>
  </si>
  <si>
    <t xml:space="preserve">studioStatusLabel, studioStatusMeaning, StudioStatusChip</t>
  </si>
  <si>
    <t xml:space="preserve">app/(operations)/operations/catalogue/page.tsx</t>
  </si>
  <si>
    <t xml:space="preserve">components/sap/capability/CapabilityChips.tsx</t>
  </si>
  <si>
    <t xml:space="preserve">CapabilityChips</t>
  </si>
  <si>
    <t xml:space="preserve">components/sap/capability/ContentTypeTiles.tsx</t>
  </si>
  <si>
    <t xml:space="preserve">coverageOf, ContentTypeTiles</t>
  </si>
  <si>
    <t xml:space="preserve">components/sap/capability/ProcessBlueprintView.tsx</t>
  </si>
  <si>
    <t xml:space="preserve">ProcessBlueprintView</t>
  </si>
  <si>
    <t xml:space="preserve">components/sap/capability/StatusBadge.tsx</t>
  </si>
  <si>
    <t xml:space="preserve">StatusBadge</t>
  </si>
  <si>
    <t xml:space="preserve">components/studio/StudioShell.tsx</t>
  </si>
  <si>
    <t xml:space="preserve">StudioShell</t>
  </si>
  <si>
    <t xml:space="preserve">components/control-tower/UsageClient.tsx</t>
  </si>
  <si>
    <t xml:space="preserve">components/ops/JobsStrip.tsx</t>
  </si>
  <si>
    <t xml:space="preserve">JobsStrip</t>
  </si>
  <si>
    <t xml:space="preserve">components/sap/ProductLabel.tsx</t>
  </si>
  <si>
    <t xml:space="preserve">ProductLabel</t>
  </si>
  <si>
    <t xml:space="preserve">components/studio/RailHighlight.tsx</t>
  </si>
  <si>
    <t xml:space="preserve">RailHighlight</t>
  </si>
  <si>
    <t xml:space="preserve">app/(auth)/dev-login/DevLoginForm.tsx</t>
  </si>
  <si>
    <t xml:space="preserve">app/(auth)/dev-login/page.tsx</t>
  </si>
  <si>
    <t xml:space="preserve">app/(control-tower)/control-tower/audit/page.tsx</t>
  </si>
  <si>
    <t xml:space="preserve">GovernanceAuditPage</t>
  </si>
  <si>
    <t xml:space="preserve">app/(control-tower)/control-tower/connections/page.tsx</t>
  </si>
  <si>
    <t xml:space="preserve">ConnectionRegisterPage</t>
  </si>
  <si>
    <t xml:space="preserve">app/(control-tower)/control-tower/grants/page.tsx</t>
  </si>
  <si>
    <t xml:space="preserve">app/(control-tower)/control-tower/portfolio/page.tsx</t>
  </si>
  <si>
    <t xml:space="preserve">PortfolioPage</t>
  </si>
  <si>
    <t xml:space="preserve">app/(control-tower)/control-tower/tokens/page.tsx</t>
  </si>
  <si>
    <t xml:space="preserve">CredentialRegisterPage</t>
  </si>
  <si>
    <t xml:space="preserve">app/(control-tower)/control-tower/usage/page.tsx</t>
  </si>
  <si>
    <t xml:space="preserve">UsagePage</t>
  </si>
  <si>
    <t xml:space="preserve">app/(control-tower)/layout.tsx</t>
  </si>
  <si>
    <t xml:space="preserve">app/(help)/layout.tsx</t>
  </si>
  <si>
    <t xml:space="preserve">app/(operations)/layout.tsx</t>
  </si>
  <si>
    <t xml:space="preserve">app/(operations)/operations/connections/page.tsx</t>
  </si>
  <si>
    <t xml:space="preserve">OperationsConnectionsPage</t>
  </si>
  <si>
    <t xml:space="preserve">app/(operations)/operations/incidents/page.tsx</t>
  </si>
  <si>
    <t xml:space="preserve">OperationsIncidentsPage</t>
  </si>
  <si>
    <t xml:space="preserve">app/(operations)/operations/throttle/page.tsx</t>
  </si>
  <si>
    <t xml:space="preserve">ThrottlePage</t>
  </si>
  <si>
    <t xml:space="preserve">app/(operations)/operations/tokens/page.tsx</t>
  </si>
  <si>
    <t xml:space="preserve">TokensPage</t>
  </si>
  <si>
    <t xml:space="preserve">app/(operations)/operations/traffic/page.tsx</t>
  </si>
  <si>
    <t xml:space="preserve">app/(operations)/operations/writes/page.tsx</t>
  </si>
  <si>
    <t xml:space="preserve">WriteLedgerPage</t>
  </si>
  <si>
    <t xml:space="preserve">app/(studio)/layout.tsx</t>
  </si>
  <si>
    <t xml:space="preserve">components/affirm/learn/AffirmLearnProvider.tsx</t>
  </si>
  <si>
    <t xml:space="preserve">AffirmLearnProvider</t>
  </si>
  <si>
    <t xml:space="preserve">components/affirm/learn/GlossaryDrawer.tsx</t>
  </si>
  <si>
    <t xml:space="preserve">GlossaryDrawer</t>
  </si>
  <si>
    <t xml:space="preserve">sheet</t>
  </si>
  <si>
    <t xml:space="preserve">components/affirm/learn/LearnToolbar.tsx</t>
  </si>
  <si>
    <t xml:space="preserve">LearnToolbar</t>
  </si>
  <si>
    <t xml:space="preserve">components/affirm/learn/context.ts</t>
  </si>
  <si>
    <t xml:space="preserve">useAffirmLearn</t>
  </si>
  <si>
    <t xml:space="preserve">components/ui/sheet.tsx</t>
  </si>
  <si>
    <t xml:space="preserve">Every CSS custom property defined in globals.css and the Studio responsive sheet. Block tells you which theme or scope it belongs to (:root = light, .dark, .aptus-app = the separate Aptus system, @theme = Tailwind bridge).</t>
  </si>
  <si>
    <t xml:space="preserve">Block (scope)</t>
  </si>
  <si>
    <t xml:space="preserve">Token</t>
  </si>
  <si>
    <t xml:space="preserve">var() uses in CoreEdge UI</t>
  </si>
  <si>
    <t xml:space="preserve">app/globals.css</t>
  </si>
  <si>
    <t xml:space="preserve">@theme inline</t>
  </si>
  <si>
    <t xml:space="preserve">--color-background</t>
  </si>
  <si>
    <t xml:space="preserve">var(--background)</t>
  </si>
  <si>
    <t xml:space="preserve">--color-foreground</t>
  </si>
  <si>
    <t xml:space="preserve">var(--foreground)</t>
  </si>
  <si>
    <t xml:space="preserve">--font-sans</t>
  </si>
  <si>
    <t xml:space="preserve">var(--font-geist-sans), ui-sans-serif, system-ui, sans-serif</t>
  </si>
  <si>
    <t xml:space="preserve">--font-mono</t>
  </si>
  <si>
    <t xml:space="preserve">var(--font-geist-mono), ui-monospace, "SF Mono", SFMono-Regular, Menlo, monospace</t>
  </si>
  <si>
    <t xml:space="preserve">--font-serif</t>
  </si>
  <si>
    <t xml:space="preserve">var(--font-source-serif), "Tiempos Headline", "Source Serif Pro", Georgia, serif</t>
  </si>
  <si>
    <t xml:space="preserve">--color-navy</t>
  </si>
  <si>
    <t xml:space="preserve">var(--brand-navy)</t>
  </si>
  <si>
    <t xml:space="preserve">--color-navy-hover</t>
  </si>
  <si>
    <t xml:space="preserve">var(--brand-navy-hover)</t>
  </si>
  <si>
    <t xml:space="preserve">--color-navy-soft</t>
  </si>
  <si>
    <t xml:space="preserve">var(--brand-navy-soft)</t>
  </si>
  <si>
    <t xml:space="preserve">--color-navy-border</t>
  </si>
  <si>
    <t xml:space="preserve">var(--brand-navy-border)</t>
  </si>
  <si>
    <t xml:space="preserve">--color-cta</t>
  </si>
  <si>
    <t xml:space="preserve">var(--cta-red)</t>
  </si>
  <si>
    <t xml:space="preserve">--color-cta-hover</t>
  </si>
  <si>
    <t xml:space="preserve">var(--cta-red-hover)</t>
  </si>
  <si>
    <t xml:space="preserve">--color-cta-focus</t>
  </si>
  <si>
    <t xml:space="preserve">var(--cta-red-focus)</t>
  </si>
  <si>
    <t xml:space="preserve">--color-cream</t>
  </si>
  <si>
    <t xml:space="preserve">var(--surface-cream)</t>
  </si>
  <si>
    <t xml:space="preserve">--color-paper</t>
  </si>
  <si>
    <t xml:space="preserve">var(--surface-paper)</t>
  </si>
  <si>
    <t xml:space="preserve">--color-ink-tint</t>
  </si>
  <si>
    <t xml:space="preserve">var(--surface-ink-tint)</t>
  </si>
  <si>
    <t xml:space="preserve">--color-banner-warn</t>
  </si>
  <si>
    <t xml:space="preserve">var(--surface-banner-warn)</t>
  </si>
  <si>
    <t xml:space="preserve">--color-ink</t>
  </si>
  <si>
    <t xml:space="preserve">var(--ink-primary)</t>
  </si>
  <si>
    <t xml:space="preserve">--color-ink-soft</t>
  </si>
  <si>
    <t xml:space="preserve">var(--ink-secondary)</t>
  </si>
  <si>
    <t xml:space="preserve">--color-ink-muted</t>
  </si>
  <si>
    <t xml:space="preserve">var(--ink-muted)</t>
  </si>
  <si>
    <t xml:space="preserve">--color-ink-disabled</t>
  </si>
  <si>
    <t xml:space="preserve">var(--ink-disabled)</t>
  </si>
  <si>
    <t xml:space="preserve">--color-decision-standard</t>
  </si>
  <si>
    <t xml:space="preserve">var(--decision-standard)</t>
  </si>
  <si>
    <t xml:space="preserve">--color-decision-configure</t>
  </si>
  <si>
    <t xml:space="preserve">var(--decision-configure)</t>
  </si>
  <si>
    <t xml:space="preserve">--color-decision-custom</t>
  </si>
  <si>
    <t xml:space="preserve">var(--decision-custom)</t>
  </si>
  <si>
    <t xml:space="preserve">--color-decision-open</t>
  </si>
  <si>
    <t xml:space="preserve">var(--decision-open)</t>
  </si>
  <si>
    <t xml:space="preserve">--color-status-draft-bg</t>
  </si>
  <si>
    <t xml:space="preserve">var(--status-draft-bg)</t>
  </si>
  <si>
    <t xml:space="preserve">--color-status-draft-fg</t>
  </si>
  <si>
    <t xml:space="preserve">var(--status-draft-fg)</t>
  </si>
  <si>
    <t xml:space="preserve">--color-status-sent-bg</t>
  </si>
  <si>
    <t xml:space="preserve">var(--status-sent-bg)</t>
  </si>
  <si>
    <t xml:space="preserve">--color-status-sent-fg</t>
  </si>
  <si>
    <t xml:space="preserve">var(--status-sent-fg)</t>
  </si>
  <si>
    <t xml:space="preserve">--color-status-awaiting-bg</t>
  </si>
  <si>
    <t xml:space="preserve">var(--status-awaiting-bg)</t>
  </si>
  <si>
    <t xml:space="preserve">--color-status-awaiting-fg</t>
  </si>
  <si>
    <t xml:space="preserve">var(--status-awaiting-fg)</t>
  </si>
  <si>
    <t xml:space="preserve">--color-status-signed-bg</t>
  </si>
  <si>
    <t xml:space="preserve">var(--status-signed-bg)</t>
  </si>
  <si>
    <t xml:space="preserve">--color-status-signed-fg</t>
  </si>
  <si>
    <t xml:space="preserve">var(--status-signed-fg)</t>
  </si>
  <si>
    <t xml:space="preserve">--color-status-expired-bg</t>
  </si>
  <si>
    <t xml:space="preserve">var(--status-expired-bg)</t>
  </si>
  <si>
    <t xml:space="preserve">--color-status-expired-fg</t>
  </si>
  <si>
    <t xml:space="preserve">var(--status-expired-fg)</t>
  </si>
  <si>
    <t xml:space="preserve">--color-status-revoked-bg</t>
  </si>
  <si>
    <t xml:space="preserve">var(--status-revoked-bg)</t>
  </si>
  <si>
    <t xml:space="preserve">--color-status-revoked-fg</t>
  </si>
  <si>
    <t xml:space="preserve">var(--status-revoked-fg)</t>
  </si>
  <si>
    <t xml:space="preserve">--color-status-nocheck-bg</t>
  </si>
  <si>
    <t xml:space="preserve">var(--status-nocheck-bg)</t>
  </si>
  <si>
    <t xml:space="preserve">--color-status-nocheck-fg</t>
  </si>
  <si>
    <t xml:space="preserve">var(--status-nocheck-fg)</t>
  </si>
  <si>
    <t xml:space="preserve">--radius-input</t>
  </si>
  <si>
    <t xml:space="preserve">8px</t>
  </si>
  <si>
    <t xml:space="preserve">--radius-card-warm</t>
  </si>
  <si>
    <t xml:space="preserve">12px</t>
  </si>
  <si>
    <t xml:space="preserve">--radius-step</t>
  </si>
  <si>
    <t xml:space="preserve">10px</t>
  </si>
  <si>
    <t xml:space="preserve">--radius-pill</t>
  </si>
  <si>
    <t xml:space="preserve">9999px</t>
  </si>
  <si>
    <t xml:space="preserve">--shadow-card-warm</t>
  </si>
  <si>
    <t xml:space="preserve">0 1px 2px rgba(20,20,20,0.04), 0 1px 0 rgba(20,20,20,0.02)</t>
  </si>
  <si>
    <t xml:space="preserve">--shadow-card-warm-hover</t>
  </si>
  <si>
    <t xml:space="preserve">0 4px 10px rgba(20,20,20,0.06), 0 2px 4px rgba(20,20,20,0.04)</t>
  </si>
  <si>
    <t xml:space="preserve">--shadow-pop</t>
  </si>
  <si>
    <t xml:space="preserve">0 10px 24px rgba(20,20,20,0.10), 0 4px 10px rgba(20,20,20,0.06)</t>
  </si>
  <si>
    <t xml:space="preserve">--shadow-focus-ring</t>
  </si>
  <si>
    <t xml:space="preserve">0 0 0 3px var(--focus-ring)</t>
  </si>
  <si>
    <t xml:space="preserve">--color-sidebar-ring</t>
  </si>
  <si>
    <t xml:space="preserve">var(--sidebar-ring)</t>
  </si>
  <si>
    <t xml:space="preserve">--color-sidebar-border</t>
  </si>
  <si>
    <t xml:space="preserve">var(--sidebar-border)</t>
  </si>
  <si>
    <t xml:space="preserve">--color-sidebar-accent-foreground</t>
  </si>
  <si>
    <t xml:space="preserve">var(--sidebar-accent-foreground)</t>
  </si>
  <si>
    <t xml:space="preserve">--color-sidebar-accent</t>
  </si>
  <si>
    <t xml:space="preserve">var(--sidebar-accent)</t>
  </si>
  <si>
    <t xml:space="preserve">--color-sidebar-primary-foreground</t>
  </si>
  <si>
    <t xml:space="preserve">var(--sidebar-primary-foreground)</t>
  </si>
  <si>
    <t xml:space="preserve">--color-sidebar-primary</t>
  </si>
  <si>
    <t xml:space="preserve">var(--sidebar-primary)</t>
  </si>
  <si>
    <t xml:space="preserve">--color-sidebar-foreground</t>
  </si>
  <si>
    <t xml:space="preserve">var(--sidebar-foreground)</t>
  </si>
  <si>
    <t xml:space="preserve">--color-sidebar</t>
  </si>
  <si>
    <t xml:space="preserve">var(--sidebar)</t>
  </si>
  <si>
    <t xml:space="preserve">--color-chart-5</t>
  </si>
  <si>
    <t xml:space="preserve">var(--chart-5)</t>
  </si>
  <si>
    <t xml:space="preserve">--color-chart-4</t>
  </si>
  <si>
    <t xml:space="preserve">var(--chart-4)</t>
  </si>
  <si>
    <t xml:space="preserve">--color-chart-3</t>
  </si>
  <si>
    <t xml:space="preserve">var(--chart-3)</t>
  </si>
  <si>
    <t xml:space="preserve">--color-chart-2</t>
  </si>
  <si>
    <t xml:space="preserve">var(--chart-2)</t>
  </si>
  <si>
    <t xml:space="preserve">--color-chart-1</t>
  </si>
  <si>
    <t xml:space="preserve">var(--chart-1)</t>
  </si>
  <si>
    <t xml:space="preserve">--color-ring</t>
  </si>
  <si>
    <t xml:space="preserve">var(--ring)</t>
  </si>
  <si>
    <t xml:space="preserve">--color-input</t>
  </si>
  <si>
    <t xml:space="preserve">var(--input)</t>
  </si>
  <si>
    <t xml:space="preserve">--color-border</t>
  </si>
  <si>
    <t xml:space="preserve">var(--border)</t>
  </si>
  <si>
    <t xml:space="preserve">--color-destructive</t>
  </si>
  <si>
    <t xml:space="preserve">var(--destructive)</t>
  </si>
  <si>
    <t xml:space="preserve">--color-accent-foreground</t>
  </si>
  <si>
    <t xml:space="preserve">var(--accent-foreground)</t>
  </si>
  <si>
    <t xml:space="preserve">--color-accent</t>
  </si>
  <si>
    <t xml:space="preserve">var(--accent)</t>
  </si>
  <si>
    <t xml:space="preserve">--color-muted-foreground</t>
  </si>
  <si>
    <t xml:space="preserve">var(--muted-foreground)</t>
  </si>
  <si>
    <t xml:space="preserve">--color-muted</t>
  </si>
  <si>
    <t xml:space="preserve">var(--muted)</t>
  </si>
  <si>
    <t xml:space="preserve">--color-secondary-foreground</t>
  </si>
  <si>
    <t xml:space="preserve">var(--secondary-foreground)</t>
  </si>
  <si>
    <t xml:space="preserve">--color-secondary</t>
  </si>
  <si>
    <t xml:space="preserve">var(--secondary)</t>
  </si>
  <si>
    <t xml:space="preserve">--color-primary-foreground</t>
  </si>
  <si>
    <t xml:space="preserve">var(--primary-foreground)</t>
  </si>
  <si>
    <t xml:space="preserve">--color-primary</t>
  </si>
  <si>
    <t xml:space="preserve">var(--primary)</t>
  </si>
  <si>
    <t xml:space="preserve">--color-popover-foreground</t>
  </si>
  <si>
    <t xml:space="preserve">var(--popover-foreground)</t>
  </si>
  <si>
    <t xml:space="preserve">--color-popover</t>
  </si>
  <si>
    <t xml:space="preserve">var(--popover)</t>
  </si>
  <si>
    <t xml:space="preserve">--color-card-foreground</t>
  </si>
  <si>
    <t xml:space="preserve">var(--card-foreground)</t>
  </si>
  <si>
    <t xml:space="preserve">--color-card</t>
  </si>
  <si>
    <t xml:space="preserve">var(--card)</t>
  </si>
  <si>
    <t xml:space="preserve">--radius-sm</t>
  </si>
  <si>
    <t xml:space="preserve">calc(var(--radius) - 4px)</t>
  </si>
  <si>
    <t xml:space="preserve">--radius-md</t>
  </si>
  <si>
    <t xml:space="preserve">calc(var(--radius) - 2px)</t>
  </si>
  <si>
    <t xml:space="preserve">--radius-lg</t>
  </si>
  <si>
    <t xml:space="preserve">var(--radius)</t>
  </si>
  <si>
    <t xml:space="preserve">--radius-xl</t>
  </si>
  <si>
    <t xml:space="preserve">calc(var(--radius) + 4px)</t>
  </si>
  <si>
    <t xml:space="preserve">--radius-2xl</t>
  </si>
  <si>
    <t xml:space="preserve">calc(var(--radius) + 8px)</t>
  </si>
  <si>
    <t xml:space="preserve">--radius-3xl</t>
  </si>
  <si>
    <t xml:space="preserve">calc(var(--radius) + 12px)</t>
  </si>
  <si>
    <t xml:space="preserve">--radius-4xl</t>
  </si>
  <si>
    <t xml:space="preserve">calc(var(--radius) + 16px)</t>
  </si>
  <si>
    <t xml:space="preserve">--shadow-card</t>
  </si>
  <si>
    <t xml:space="preserve">0 1px 3px var(--shadow-color, oklch(0 0 0 / 0.06)), 0 1px 2px var(--shadow-color, oklch(0 0 0 / 0.04))</t>
  </si>
  <si>
    <t xml:space="preserve">--shadow-card-hover</t>
  </si>
  <si>
    <t xml:space="preserve">0 4px 12px var(--shadow-color-md, oklch(0 0 0 / 0.08))</t>
  </si>
  <si>
    <t xml:space="preserve">--shadow-modal</t>
  </si>
  <si>
    <t xml:space="preserve">0 8px 24px var(--shadow-color-lg, oklch(0 0 0 / 0.12))</t>
  </si>
  <si>
    <t xml:space="preserve">--shadow-overlay</t>
  </si>
  <si>
    <t xml:space="preserve">0 16px 48px var(--shadow-color-xl, oklch(0 0 0 / 0.16))</t>
  </si>
  <si>
    <t xml:space="preserve">:root</t>
  </si>
  <si>
    <t xml:space="preserve">--radius</t>
  </si>
  <si>
    <t xml:space="preserve">0.625rem</t>
  </si>
  <si>
    <t xml:space="preserve">--brand-navy</t>
  </si>
  <si>
    <t xml:space="preserve">#002B5C</t>
  </si>
  <si>
    <t xml:space="preserve">--brand-navy-hover</t>
  </si>
  <si>
    <t xml:space="preserve">#001E40</t>
  </si>
  <si>
    <t xml:space="preserve">--brand-navy-soft</t>
  </si>
  <si>
    <t xml:space="preserve">#E6EBF1</t>
  </si>
  <si>
    <t xml:space="preserve">--brand-navy-border</t>
  </si>
  <si>
    <t xml:space="preserve">#CFD7E0</t>
  </si>
  <si>
    <t xml:space="preserve">--cta-red</t>
  </si>
  <si>
    <t xml:space="preserve">#C8102E</t>
  </si>
  <si>
    <t xml:space="preserve">--cta-red-hover</t>
  </si>
  <si>
    <t xml:space="preserve">#A30D26</t>
  </si>
  <si>
    <t xml:space="preserve">--cta-red-focus</t>
  </si>
  <si>
    <t xml:space="preserve">#FBE9EC</t>
  </si>
  <si>
    <t xml:space="preserve">--surface-cream</t>
  </si>
  <si>
    <t xml:space="preserve">#FAF9F5</t>
  </si>
  <si>
    <t xml:space="preserve">--surface-paper</t>
  </si>
  <si>
    <t xml:space="preserve">#FFFFFE</t>
  </si>
  <si>
    <t xml:space="preserve">--surface-ink-tint</t>
  </si>
  <si>
    <t xml:space="preserve">#F4F2EB</t>
  </si>
  <si>
    <t xml:space="preserve">--surface-banner-warn</t>
  </si>
  <si>
    <t xml:space="preserve">#FDF7E6</t>
  </si>
  <si>
    <t xml:space="preserve">--ink-primary</t>
  </si>
  <si>
    <t xml:space="preserve">#1A1A1A</t>
  </si>
  <si>
    <t xml:space="preserve">--ink-secondary</t>
  </si>
  <si>
    <t xml:space="preserve">#4A4A4A</t>
  </si>
  <si>
    <t xml:space="preserve">--ink-muted</t>
  </si>
  <si>
    <t xml:space="preserve">#6B6B6B</t>
  </si>
  <si>
    <t xml:space="preserve">--ink-disabled</t>
  </si>
  <si>
    <t xml:space="preserve">#C4C4C4</t>
  </si>
  <si>
    <t xml:space="preserve">--ink-on-navy</t>
  </si>
  <si>
    <t xml:space="preserve">#FFFFFF</t>
  </si>
  <si>
    <t xml:space="preserve">--ink-on-navy-muted</t>
  </si>
  <si>
    <t xml:space="preserve">rgba(255,255,255,0.72)</t>
  </si>
  <si>
    <t xml:space="preserve">--border-default</t>
  </si>
  <si>
    <t xml:space="preserve">#E5E1D6</t>
  </si>
  <si>
    <t xml:space="preserve">--border-strong</t>
  </si>
  <si>
    <t xml:space="preserve">#C4BFAE</t>
  </si>
  <si>
    <t xml:space="preserve">--border-focus</t>
  </si>
  <si>
    <t xml:space="preserve">--focus-ring</t>
  </si>
  <si>
    <t xml:space="preserve">--status-draft-bg</t>
  </si>
  <si>
    <t xml:space="preserve">--status-draft-fg</t>
  </si>
  <si>
    <t xml:space="preserve">--status-sent-bg</t>
  </si>
  <si>
    <t xml:space="preserve">#E0EBF4</t>
  </si>
  <si>
    <t xml:space="preserve">--status-sent-fg</t>
  </si>
  <si>
    <t xml:space="preserve">#1A4D6F</t>
  </si>
  <si>
    <t xml:space="preserve">--status-awaiting-bg</t>
  </si>
  <si>
    <t xml:space="preserve">#FBE9D1</t>
  </si>
  <si>
    <t xml:space="preserve">--status-awaiting-fg</t>
  </si>
  <si>
    <t xml:space="preserve">#8B5A00</t>
  </si>
  <si>
    <t xml:space="preserve">--status-signed-bg</t>
  </si>
  <si>
    <t xml:space="preserve">#DCEBE3</t>
  </si>
  <si>
    <t xml:space="preserve">--status-signed-fg</t>
  </si>
  <si>
    <t xml:space="preserve">#166534</t>
  </si>
  <si>
    <t xml:space="preserve">--status-expired-bg</t>
  </si>
  <si>
    <t xml:space="preserve">#EAEAE6</t>
  </si>
  <si>
    <t xml:space="preserve">--status-expired-fg</t>
  </si>
  <si>
    <t xml:space="preserve">#5C5C5C</t>
  </si>
  <si>
    <t xml:space="preserve">--status-revoked-bg</t>
  </si>
  <si>
    <t xml:space="preserve">#F4DEDB</t>
  </si>
  <si>
    <t xml:space="preserve">--status-revoked-fg</t>
  </si>
  <si>
    <t xml:space="preserve">#8E2A26</t>
  </si>
  <si>
    <t xml:space="preserve">--status-nocheck-bg</t>
  </si>
  <si>
    <t xml:space="preserve">#EFEDE6</t>
  </si>
  <si>
    <t xml:space="preserve">--status-nocheck-fg</t>
  </si>
  <si>
    <t xml:space="preserve">#5F5F5F</t>
  </si>
  <si>
    <t xml:space="preserve">--decision-standard</t>
  </si>
  <si>
    <t xml:space="preserve">#0F766E</t>
  </si>
  <si>
    <t xml:space="preserve">--decision-configure</t>
  </si>
  <si>
    <t xml:space="preserve">#1D4ED8</t>
  </si>
  <si>
    <t xml:space="preserve">--decision-custom</t>
  </si>
  <si>
    <t xml:space="preserve">#9A4A08</t>
  </si>
  <si>
    <t xml:space="preserve">--decision-open</t>
  </si>
  <si>
    <t xml:space="preserve">--success</t>
  </si>
  <si>
    <t xml:space="preserve">--warning</t>
  </si>
  <si>
    <t xml:space="preserve">#B45309</t>
  </si>
  <si>
    <t xml:space="preserve">--danger</t>
  </si>
  <si>
    <t xml:space="preserve">#991B1B</t>
  </si>
  <si>
    <t xml:space="preserve">--info</t>
  </si>
  <si>
    <t xml:space="preserve">#1E40AF</t>
  </si>
  <si>
    <t xml:space="preserve">--ease-snap</t>
  </si>
  <si>
    <t xml:space="preserve">cubic-bezier(0.2, 0, 0.13, 1)</t>
  </si>
  <si>
    <t xml:space="preserve">--ease-calm</t>
  </si>
  <si>
    <t xml:space="preserve">cubic-bezier(0.4, 0, 0.2, 1)</t>
  </si>
  <si>
    <t xml:space="preserve">--ease-hero</t>
  </si>
  <si>
    <t xml:space="preserve">cubic-bezier(0.16, 1, 0.3, 1)</t>
  </si>
  <si>
    <t xml:space="preserve">--dur-snap</t>
  </si>
  <si>
    <t xml:space="preserve">100ms</t>
  </si>
  <si>
    <t xml:space="preserve">--dur-calm</t>
  </si>
  <si>
    <t xml:space="preserve">200ms</t>
  </si>
  <si>
    <t xml:space="preserve">--dur-hero</t>
  </si>
  <si>
    <t xml:space="preserve">320ms</t>
  </si>
  <si>
    <t xml:space="preserve">--background</t>
  </si>
  <si>
    <t xml:space="preserve">oklch(0.984 0.003 247.86)</t>
  </si>
  <si>
    <t xml:space="preserve">--foreground</t>
  </si>
  <si>
    <t xml:space="preserve">oklch(0.129 0.042 264.05)</t>
  </si>
  <si>
    <t xml:space="preserve">--card</t>
  </si>
  <si>
    <t xml:space="preserve">oklch(1 0 0)</t>
  </si>
  <si>
    <t xml:space="preserve">--card-foreground</t>
  </si>
  <si>
    <t xml:space="preserve">--popover</t>
  </si>
  <si>
    <t xml:space="preserve">--popover-foreground</t>
  </si>
  <si>
    <t xml:space="preserve">--primary</t>
  </si>
  <si>
    <t xml:space="preserve">oklch(0.546 0.245 262.881)</t>
  </si>
  <si>
    <t xml:space="preserve">--primary-foreground</t>
  </si>
  <si>
    <t xml:space="preserve">--secondary</t>
  </si>
  <si>
    <t xml:space="preserve">oklch(0.968 0.007 247.86)</t>
  </si>
  <si>
    <t xml:space="preserve">--secondary-foreground</t>
  </si>
  <si>
    <t xml:space="preserve">oklch(0.208 0.042 264.05)</t>
  </si>
  <si>
    <t xml:space="preserve">--muted</t>
  </si>
  <si>
    <t xml:space="preserve">--muted-foreground</t>
  </si>
  <si>
    <t xml:space="preserve">oklch(0.446 0.03 256.8)</t>
  </si>
  <si>
    <t xml:space="preserve">--accent</t>
  </si>
  <si>
    <t xml:space="preserve">oklch(0.929 0.013 255.51)</t>
  </si>
  <si>
    <t xml:space="preserve">--accent-foreground</t>
  </si>
  <si>
    <t xml:space="preserve">--destructive</t>
  </si>
  <si>
    <t xml:space="preserve">oklch(0.577 0.245 27.325)</t>
  </si>
  <si>
    <t xml:space="preserve">--border</t>
  </si>
  <si>
    <t xml:space="preserve">--input</t>
  </si>
  <si>
    <t xml:space="preserve">--ring</t>
  </si>
  <si>
    <t xml:space="preserve">--chart-1</t>
  </si>
  <si>
    <t xml:space="preserve">oklch(0.646 0.222 41.116)</t>
  </si>
  <si>
    <t xml:space="preserve">--chart-2</t>
  </si>
  <si>
    <t xml:space="preserve">oklch(0.6 0.118 184.704)</t>
  </si>
  <si>
    <t xml:space="preserve">--chart-3</t>
  </si>
  <si>
    <t xml:space="preserve">oklch(0.398 0.07 227.392)</t>
  </si>
  <si>
    <t xml:space="preserve">--chart-4</t>
  </si>
  <si>
    <t xml:space="preserve">oklch(0.828 0.189 84.429)</t>
  </si>
  <si>
    <t xml:space="preserve">--chart-5</t>
  </si>
  <si>
    <t xml:space="preserve">oklch(0.769 0.188 70.08)</t>
  </si>
  <si>
    <t xml:space="preserve">--sidebar</t>
  </si>
  <si>
    <t xml:space="preserve">--sidebar-foreground</t>
  </si>
  <si>
    <t xml:space="preserve">--sidebar-primary</t>
  </si>
  <si>
    <t xml:space="preserve">--sidebar-primary-foreground</t>
  </si>
  <si>
    <t xml:space="preserve">--sidebar-accent</t>
  </si>
  <si>
    <t xml:space="preserve">--sidebar-accent-foreground</t>
  </si>
  <si>
    <t xml:space="preserve">--sidebar-border</t>
  </si>
  <si>
    <t xml:space="preserve">--sidebar-ring</t>
  </si>
  <si>
    <t xml:space="preserve">--shadow-color</t>
  </si>
  <si>
    <t xml:space="preserve">oklch(0 0 0 / 0.04)</t>
  </si>
  <si>
    <t xml:space="preserve">--shadow-color-md</t>
  </si>
  <si>
    <t xml:space="preserve">oklch(0 0 0 / 0.06)</t>
  </si>
  <si>
    <t xml:space="preserve">--shadow-color-lg</t>
  </si>
  <si>
    <t xml:space="preserve">oklch(0 0 0 / 0.08)</t>
  </si>
  <si>
    <t xml:space="preserve">--shadow-color-xl</t>
  </si>
  <si>
    <t xml:space="preserve">oklch(0 0 0 / 0.12)</t>
  </si>
  <si>
    <t xml:space="preserve">--status-fit-bg</t>
  </si>
  <si>
    <t xml:space="preserve">oklch(0.962 0.044 156.74)</t>
  </si>
  <si>
    <t xml:space="preserve">--status-fit-fg</t>
  </si>
  <si>
    <t xml:space="preserve">oklch(0.448 0.119 151.33)</t>
  </si>
  <si>
    <t xml:space="preserve">--status-configure-bg</t>
  </si>
  <si>
    <t xml:space="preserve">oklch(0.962 0.023 254.13)</t>
  </si>
  <si>
    <t xml:space="preserve">--status-configure-fg</t>
  </si>
  <si>
    <t xml:space="preserve">oklch(0.488 0.217 264.38)</t>
  </si>
  <si>
    <t xml:space="preserve">--status-extend-bg</t>
  </si>
  <si>
    <t xml:space="preserve">oklch(0.987 0.026 95.28)</t>
  </si>
  <si>
    <t xml:space="preserve">--status-extend-fg</t>
  </si>
  <si>
    <t xml:space="preserve">oklch(0.553 0.135 66.44)</t>
  </si>
  <si>
    <t xml:space="preserve">--status-build-bg</t>
  </si>
  <si>
    <t xml:space="preserve">oklch(0.977 0.013 17.38)</t>
  </si>
  <si>
    <t xml:space="preserve">--status-build-fg</t>
  </si>
  <si>
    <t xml:space="preserve">oklch(0.444 0.177 26.9)</t>
  </si>
  <si>
    <t xml:space="preserve">--status-adapt-bg</t>
  </si>
  <si>
    <t xml:space="preserve">oklch(0.977 0.017 293.76)</t>
  </si>
  <si>
    <t xml:space="preserve">--status-adapt-fg</t>
  </si>
  <si>
    <t xml:space="preserve">oklch(0.474 0.209 303.9)</t>
  </si>
  <si>
    <t xml:space="preserve">--status-pending-bg</t>
  </si>
  <si>
    <t xml:space="preserve">oklch(0.985 0.002 247.86)</t>
  </si>
  <si>
    <t xml:space="preserve">--status-pending-fg</t>
  </si>
  <si>
    <t xml:space="preserve">--status-na-bg</t>
  </si>
  <si>
    <t xml:space="preserve">--status-na-fg</t>
  </si>
  <si>
    <t xml:space="preserve">oklch(0.647 0.015 264.05)</t>
  </si>
  <si>
    <t xml:space="preserve">.dark</t>
  </si>
  <si>
    <t xml:space="preserve">oklch(0.145 0 0)</t>
  </si>
  <si>
    <t xml:space="preserve">oklch(0.922 0 0)</t>
  </si>
  <si>
    <t xml:space="preserve">oklch(0.17 0 0)</t>
  </si>
  <si>
    <t xml:space="preserve">oklch(0.6856 0.1794 259.09)</t>
  </si>
  <si>
    <t xml:space="preserve">oklch(0.27 0 0)</t>
  </si>
  <si>
    <t xml:space="preserve">oklch(0.25 0 0)</t>
  </si>
  <si>
    <t xml:space="preserve">oklch(0.68 0 0)</t>
  </si>
  <si>
    <t xml:space="preserve">oklch(0.3 0 0)</t>
  </si>
  <si>
    <t xml:space="preserve">oklch(0.746 0.222 41.116)</t>
  </si>
  <si>
    <t xml:space="preserve">oklch(0.7 0.118 184.704)</t>
  </si>
  <si>
    <t xml:space="preserve">oklch(0.498 0.07 227.392)</t>
  </si>
  <si>
    <t xml:space="preserve">oklch(0.45 0 0)</t>
  </si>
  <si>
    <t xml:space="preserve">oklch(0 0 0 / 0.15)</t>
  </si>
  <si>
    <t xml:space="preserve">oklch(0 0 0 / 0.25)</t>
  </si>
  <si>
    <t xml:space="preserve">oklch(0 0 0 / 0.35)</t>
  </si>
  <si>
    <t xml:space="preserve">oklch(0 0 0 / 0.45)</t>
  </si>
  <si>
    <t xml:space="preserve">oklch(0.3 0.06 145)</t>
  </si>
  <si>
    <t xml:space="preserve">oklch(0.8 0.12 145)</t>
  </si>
  <si>
    <t xml:space="preserve">oklch(0.3 0.06 250)</t>
  </si>
  <si>
    <t xml:space="preserve">oklch(0.8 0.12 250)</t>
  </si>
  <si>
    <t xml:space="preserve">oklch(0.3 0.06 75)</t>
  </si>
  <si>
    <t xml:space="preserve">oklch(0.8 0.12 75)</t>
  </si>
  <si>
    <t xml:space="preserve">oklch(0.3 0.06 25)</t>
  </si>
  <si>
    <t xml:space="preserve">oklch(0.8 0.14 25)</t>
  </si>
  <si>
    <t xml:space="preserve">oklch(0.3 0.06 310)</t>
  </si>
  <si>
    <t xml:space="preserve">oklch(0.8 0.12 310)</t>
  </si>
  <si>
    <t xml:space="preserve">oklch(0.28 0 0)</t>
  </si>
  <si>
    <t xml:space="preserve">oklch(0.7 0 0)</t>
  </si>
  <si>
    <t xml:space="preserve">oklch(0.55 0 0)</t>
  </si>
  <si>
    <t xml:space="preserve">.dark [data-cap-catalogue]</t>
  </si>
  <si>
    <t xml:space="preserve">oklch(0.78 0.09 250)</t>
  </si>
  <si>
    <t xml:space="preserve">oklch(0.72 0.18 20)</t>
  </si>
  <si>
    <t xml:space="preserve">oklch(0.85 0.12 145)</t>
  </si>
  <si>
    <t xml:space="preserve">oklch(0.85 0.12 250)</t>
  </si>
  <si>
    <t xml:space="preserve">oklch(0.75 0 0)</t>
  </si>
  <si>
    <t xml:space="preserve">oklch(0.32 0.06 70)</t>
  </si>
  <si>
    <t xml:space="preserve">oklch(0.85 0.12 70)</t>
  </si>
  <si>
    <t xml:space="preserve">oklch(0.85 0.12 25)</t>
  </si>
  <si>
    <t xml:space="preserve">oklch(0.26 0 0)</t>
  </si>
  <si>
    <t xml:space="preserve">oklch(0.65 0 0)</t>
  </si>
  <si>
    <t xml:space="preserve">oklch(0.82 0.1 175)</t>
  </si>
  <si>
    <t xml:space="preserve">oklch(0.82 0.12 255)</t>
  </si>
  <si>
    <t xml:space="preserve">oklch(0.83 0.12 70)</t>
  </si>
  <si>
    <t xml:space="preserve">.aptus-app</t>
  </si>
  <si>
    <t xml:space="preserve">--aptus-bg</t>
  </si>
  <si>
    <t xml:space="preserve">#FAFAFA</t>
  </si>
  <si>
    <t xml:space="preserve">--aptus-surface</t>
  </si>
  <si>
    <t xml:space="preserve">--aptus-surface-2</t>
  </si>
  <si>
    <t xml:space="preserve">#F4F4F6</t>
  </si>
  <si>
    <t xml:space="preserve">--aptus-surface-3</t>
  </si>
  <si>
    <t xml:space="preserve">#EAEAEE</t>
  </si>
  <si>
    <t xml:space="preserve">--aptus-border</t>
  </si>
  <si>
    <t xml:space="preserve">#E4E4E7</t>
  </si>
  <si>
    <t xml:space="preserve">--aptus-border-strong</t>
  </si>
  <si>
    <t xml:space="preserve">#D4D4D8</t>
  </si>
  <si>
    <t xml:space="preserve">--aptus-text</t>
  </si>
  <si>
    <t xml:space="preserve">#0B0B0F</t>
  </si>
  <si>
    <t xml:space="preserve">--aptus-text-muted</t>
  </si>
  <si>
    <t xml:space="preserve">#52525B</t>
  </si>
  <si>
    <t xml:space="preserve">--aptus-text-subtle</t>
  </si>
  <si>
    <t xml:space="preserve">#71717A</t>
  </si>
  <si>
    <t xml:space="preserve">--aptus-brand</t>
  </si>
  <si>
    <t xml:space="preserve">--aptus-brand-text</t>
  </si>
  <si>
    <t xml:space="preserve">--aptus-brand-hover</t>
  </si>
  <si>
    <t xml:space="preserve">#27272A</t>
  </si>
  <si>
    <t xml:space="preserve">--aptus-success-50</t>
  </si>
  <si>
    <t xml:space="preserve">#ECFDF5</t>
  </si>
  <si>
    <t xml:space="preserve">--aptus-success-200</t>
  </si>
  <si>
    <t xml:space="preserve">#A7F3D0</t>
  </si>
  <si>
    <t xml:space="preserve">--aptus-success-500</t>
  </si>
  <si>
    <t xml:space="preserve">#10B981</t>
  </si>
  <si>
    <t xml:space="preserve">--aptus-success-700</t>
  </si>
  <si>
    <t xml:space="preserve">#15803D</t>
  </si>
  <si>
    <t xml:space="preserve">--aptus-warning-50</t>
  </si>
  <si>
    <t xml:space="preserve">#FFFBEB</t>
  </si>
  <si>
    <t xml:space="preserve">--aptus-warning-200</t>
  </si>
  <si>
    <t xml:space="preserve">#FDE68A</t>
  </si>
  <si>
    <t xml:space="preserve">--aptus-warning-500</t>
  </si>
  <si>
    <t xml:space="preserve">#F59E0B</t>
  </si>
  <si>
    <t xml:space="preserve">--aptus-warning-700</t>
  </si>
  <si>
    <t xml:space="preserve">--aptus-info-50</t>
  </si>
  <si>
    <t xml:space="preserve">#EFF6FF</t>
  </si>
  <si>
    <t xml:space="preserve">--aptus-info-200</t>
  </si>
  <si>
    <t xml:space="preserve">#BFDBFE</t>
  </si>
  <si>
    <t xml:space="preserve">--aptus-info-500</t>
  </si>
  <si>
    <t xml:space="preserve">#3B82F6</t>
  </si>
  <si>
    <t xml:space="preserve">--aptus-info-700</t>
  </si>
  <si>
    <t xml:space="preserve">--aptus-danger-50</t>
  </si>
  <si>
    <t xml:space="preserve">#FEF2F2</t>
  </si>
  <si>
    <t xml:space="preserve">--aptus-danger-200</t>
  </si>
  <si>
    <t xml:space="preserve">#FECACA</t>
  </si>
  <si>
    <t xml:space="preserve">--aptus-danger-500</t>
  </si>
  <si>
    <t xml:space="preserve">#EF4444</t>
  </si>
  <si>
    <t xml:space="preserve">--aptus-danger-700</t>
  </si>
  <si>
    <t xml:space="preserve">#B91C1C</t>
  </si>
  <si>
    <t xml:space="preserve">--aptus-neutral-50</t>
  </si>
  <si>
    <t xml:space="preserve">#F4F4F5</t>
  </si>
  <si>
    <t xml:space="preserve">--aptus-neutral-200</t>
  </si>
  <si>
    <t xml:space="preserve">--aptus-neutral-500</t>
  </si>
  <si>
    <t xml:space="preserve">--aptus-neutral-700</t>
  </si>
  <si>
    <t xml:space="preserve">#3F3F46</t>
  </si>
  <si>
    <t xml:space="preserve">--aptus-shadow-sm</t>
  </si>
  <si>
    <t xml:space="preserve">0 1px 2px rgba(0,0,0,0.06)</t>
  </si>
  <si>
    <t xml:space="preserve">--aptus-shadow-md</t>
  </si>
  <si>
    <t xml:space="preserve">0 4px 12px rgba(0,0,0,0.08)</t>
  </si>
  <si>
    <t xml:space="preserve">--aptus-shadow-lg</t>
  </si>
  <si>
    <t xml:space="preserve">0 10px 32px rgba(0,0,0,0.10)</t>
  </si>
  <si>
    <t xml:space="preserve">--aptus-row-h</t>
  </si>
  <si>
    <t xml:space="preserve">56px</t>
  </si>
  <si>
    <t xml:space="preserve">--aptus-field-h</t>
  </si>
  <si>
    <t xml:space="preserve">40px</t>
  </si>
  <si>
    <t xml:space="preserve">--aptus-card-pad</t>
  </si>
  <si>
    <t xml:space="preserve">20px</t>
  </si>
  <si>
    <t xml:space="preserve">.aptus-app[data-density="tight"]</t>
  </si>
  <si>
    <t xml:space="preserve">44px</t>
  </si>
  <si>
    <t xml:space="preserve">36px</t>
  </si>
  <si>
    <t xml:space="preserve">14px</t>
  </si>
  <si>
    <t xml:space="preserve">.aptus-app[data-density="medium"]</t>
  </si>
  <si>
    <t xml:space="preserve">.aptus-app[data-density="relaxed"]</t>
  </si>
  <si>
    <t xml:space="preserve">68px</t>
  </si>
  <si>
    <t xml:space="preserve">28px</t>
  </si>
  <si>
    <t xml:space="preserve">.aptus-app[data-theme="dark"]</t>
  </si>
  <si>
    <t xml:space="preserve">#15151A</t>
  </si>
  <si>
    <t xml:space="preserve">#1D1D24</t>
  </si>
  <si>
    <t xml:space="preserve">#A1A1AA</t>
  </si>
  <si>
    <t xml:space="preserve">0 1px 2px rgba(0,0,0,0.4)</t>
  </si>
  <si>
    <t xml:space="preserve">0 4px 12px rgba(0,0,0,0.4)</t>
  </si>
  <si>
    <t xml:space="preserve">0 10px 32px rgba(0,0,0,0.5)</t>
  </si>
  <si>
    <t xml:space="preserve">var() references in CoreEdge UI</t>
  </si>
  <si>
    <t xml:space="preserve">Defined?</t>
  </si>
  <si>
    <t xml:space="preserve">yes</t>
  </si>
  <si>
    <t xml:space="preserve">--status-error</t>
  </si>
  <si>
    <t xml:space="preserve">NO — referenced but never defined</t>
  </si>
  <si>
    <t xml:space="preserve">--surface-banner-info</t>
  </si>
  <si>
    <t xml:space="preserve">--surface-subtle</t>
  </si>
  <si>
    <t xml:space="preserve">--status-ok</t>
  </si>
  <si>
    <t xml:space="preserve">--status-warn</t>
  </si>
  <si>
    <t xml:space="preserve">Inline style literals across the CoreEdge UI, grouped by property. Colours are already mostly tokenised; spacing, type size, line height, letter-spacing, radius and shadow are not.</t>
  </si>
  <si>
    <t xml:space="preserve">CSS property</t>
  </si>
  <si>
    <t xml:space="preserve">Literal value in code</t>
  </si>
  <si>
    <t xml:space="preserve">Occurrences</t>
  </si>
  <si>
    <t xml:space="preserve">Proposed token / nearest scale step</t>
  </si>
  <si>
    <t xml:space="preserve">borderRadius</t>
  </si>
  <si>
    <t xml:space="preserve">var(--radius-input, 8px)</t>
  </si>
  <si>
    <t xml:space="preserve">6</t>
  </si>
  <si>
    <t xml:space="preserve">6 sm</t>
  </si>
  <si>
    <t xml:space="preserve">var(--radius-card-warm, 12px)</t>
  </si>
  <si>
    <t xml:space="preserve">8</t>
  </si>
  <si>
    <t xml:space="preserve">8 input</t>
  </si>
  <si>
    <t xml:space="preserve">12</t>
  </si>
  <si>
    <t xml:space="preserve">12 card</t>
  </si>
  <si>
    <t xml:space="preserve">9999</t>
  </si>
  <si>
    <t xml:space="preserve">pill</t>
  </si>
  <si>
    <t xml:space="preserve">4</t>
  </si>
  <si>
    <t xml:space="preserve">4 xs</t>
  </si>
  <si>
    <t xml:space="preserve">5</t>
  </si>
  <si>
    <t xml:space="preserve">50%</t>
  </si>
  <si>
    <t xml:space="preserve">var(--radius-pill)</t>
  </si>
  <si>
    <t xml:space="preserve">var(--radius-pill, 9999px)</t>
  </si>
  <si>
    <t xml:space="preserve">7</t>
  </si>
  <si>
    <t xml:space="preserve">0 6px 6px 0</t>
  </si>
  <si>
    <t xml:space="preserve">3</t>
  </si>
  <si>
    <t xml:space="preserve">10</t>
  </si>
  <si>
    <t xml:space="preserve">boxShadow</t>
  </si>
  <si>
    <t xml:space="preserve">0 1px 2px rgba(0,0,0,.04)</t>
  </si>
  <si>
    <t xml:space="preserve">→ needs token</t>
  </si>
  <si>
    <t xml:space="preserve">0 8px 24px rgba(0,0,0,.08)</t>
  </si>
  <si>
    <t xml:space="preserve">0 16px 40px rgba(0,0,0,.12)</t>
  </si>
  <si>
    <t xml:space="preserve">padding</t>
  </si>
  <si>
    <t xml:space="preserve">15px 16px</t>
  </si>
  <si>
    <t xml:space="preserve">20</t>
  </si>
  <si>
    <t xml:space="preserve">0</t>
  </si>
  <si>
    <t xml:space="preserve">9px 12px</t>
  </si>
  <si>
    <t xml:space="preserve">0 8px</t>
  </si>
  <si>
    <t xml:space="preserve">16</t>
  </si>
  <si>
    <t xml:space="preserve">3px 9px</t>
  </si>
  <si>
    <t xml:space="preserve">0 10px</t>
  </si>
  <si>
    <t xml:space="preserve">6px 12px</t>
  </si>
  <si>
    <t xml:space="preserve">13px 16px</t>
  </si>
  <si>
    <t xml:space="preserve">8px 10px</t>
  </si>
  <si>
    <t xml:space="preserve">1px 5px</t>
  </si>
  <si>
    <t xml:space="preserve">0 12px</t>
  </si>
  <si>
    <t xml:space="preserve">0 14px</t>
  </si>
  <si>
    <t xml:space="preserve">24</t>
  </si>
  <si>
    <t xml:space="preserve">18</t>
  </si>
  <si>
    <t xml:space="preserve">6px 10px</t>
  </si>
  <si>
    <t xml:space="preserve">13px 16px 4px</t>
  </si>
  <si>
    <t xml:space="preserve">0 16px</t>
  </si>
  <si>
    <t xml:space="preserve">1px 6px</t>
  </si>
  <si>
    <t xml:space="preserve">4px 10px</t>
  </si>
  <si>
    <t xml:space="preserve">12px 16px 0</t>
  </si>
  <si>
    <t xml:space="preserve">5px 11px</t>
  </si>
  <si>
    <t xml:space="preserve">5px 7px</t>
  </si>
  <si>
    <t xml:space="preserve">12px 16px</t>
  </si>
  <si>
    <t xml:space="preserve">3px 7px</t>
  </si>
  <si>
    <t xml:space="preserve">8px 12px</t>
  </si>
  <si>
    <t xml:space="preserve">14px 18px</t>
  </si>
  <si>
    <t xml:space="preserve">40px 0</t>
  </si>
  <si>
    <t xml:space="preserve">0 16px 13px</t>
  </si>
  <si>
    <t xml:space="preserve">28</t>
  </si>
  <si>
    <t xml:space="preserve">14</t>
  </si>
  <si>
    <t xml:space="preserve">4px 8px</t>
  </si>
  <si>
    <t xml:space="preserve">0 16px 15px</t>
  </si>
  <si>
    <t xml:space="preserve">6px 9px</t>
  </si>
  <si>
    <t xml:space="preserve">3px 10px</t>
  </si>
  <si>
    <t xml:space="preserve">10px 16px</t>
  </si>
  <si>
    <t xml:space="preserve">14px 16px</t>
  </si>
  <si>
    <t xml:space="preserve">11px 16px</t>
  </si>
  <si>
    <t xml:space="preserve">2px 9px</t>
  </si>
  <si>
    <t xml:space="preserve">11px 16px 13px</t>
  </si>
  <si>
    <t xml:space="preserve">34px 20px 30px</t>
  </si>
  <si>
    <t xml:space="preserve">8px 16px 15px</t>
  </si>
  <si>
    <t xml:space="preserve">4px 2px 14px</t>
  </si>
  <si>
    <t xml:space="preserve">12px 14px</t>
  </si>
  <si>
    <t xml:space="preserve">4px 0</t>
  </si>
  <si>
    <t xml:space="preserve">6px 0</t>
  </si>
  <si>
    <t xml:space="preserve">16px 12px</t>
  </si>
  <si>
    <t xml:space="preserve">4px 12px</t>
  </si>
  <si>
    <t xml:space="preserve">0 24px</t>
  </si>
  <si>
    <t xml:space="preserve">5px 10px</t>
  </si>
  <si>
    <t xml:space="preserve">8px 8px 4px</t>
  </si>
  <si>
    <t xml:space="preserve">6px 8px 4px</t>
  </si>
  <si>
    <t xml:space="preserve">8px 0</t>
  </si>
  <si>
    <t xml:space="preserve">gap</t>
  </si>
  <si>
    <t xml:space="preserve">30</t>
  </si>
  <si>
    <t xml:space="preserve">22</t>
  </si>
  <si>
    <t xml:space="preserve">2</t>
  </si>
  <si>
    <t xml:space="preserve">6px 16px</t>
  </si>
  <si>
    <t xml:space="preserve">26</t>
  </si>
  <si>
    <t xml:space="preserve">4px 14px</t>
  </si>
  <si>
    <t xml:space="preserve">5px 14px</t>
  </si>
  <si>
    <t xml:space="preserve">34</t>
  </si>
  <si>
    <t xml:space="preserve">6px 18px</t>
  </si>
  <si>
    <t xml:space="preserve">margin</t>
  </si>
  <si>
    <t xml:space="preserve">0 0 8px</t>
  </si>
  <si>
    <t xml:space="preserve">4px 0 0</t>
  </si>
  <si>
    <t xml:space="preserve">0 0 4px</t>
  </si>
  <si>
    <t xml:space="preserve">8px 0 0</t>
  </si>
  <si>
    <t xml:space="preserve">0 0 12px</t>
  </si>
  <si>
    <t xml:space="preserve">6px 0 0</t>
  </si>
  <si>
    <t xml:space="preserve">10px 0 0</t>
  </si>
  <si>
    <t xml:space="preserve">0 0 16px</t>
  </si>
  <si>
    <t xml:space="preserve">8px 0 2px</t>
  </si>
  <si>
    <t xml:space="preserve">5px 0 0</t>
  </si>
  <si>
    <t xml:space="preserve">0 0 6px</t>
  </si>
  <si>
    <t xml:space="preserve">12px 0 0</t>
  </si>
  <si>
    <t xml:space="preserve">3px 0 0</t>
  </si>
  <si>
    <t xml:space="preserve">20px 0</t>
  </si>
  <si>
    <t xml:space="preserve">6px 0 12px</t>
  </si>
  <si>
    <t xml:space="preserve">0 0 14px</t>
  </si>
  <si>
    <t xml:space="preserve">10px 0 8px</t>
  </si>
  <si>
    <t xml:space="preserve">0 0 2px</t>
  </si>
  <si>
    <t xml:space="preserve">fontSize</t>
  </si>
  <si>
    <t xml:space="preserve">13</t>
  </si>
  <si>
    <t xml:space="preserve">13 body-sm</t>
  </si>
  <si>
    <t xml:space="preserve">12 small</t>
  </si>
  <si>
    <t xml:space="preserve">12.5</t>
  </si>
  <si>
    <t xml:space="preserve">11.5</t>
  </si>
  <si>
    <t xml:space="preserve">11</t>
  </si>
  <si>
    <t xml:space="preserve">11 caption</t>
  </si>
  <si>
    <t xml:space="preserve">14 body</t>
  </si>
  <si>
    <t xml:space="preserve">15</t>
  </si>
  <si>
    <t xml:space="preserve">16 h3</t>
  </si>
  <si>
    <t xml:space="preserve">24 h1</t>
  </si>
  <si>
    <t xml:space="preserve">13.5</t>
  </si>
  <si>
    <t xml:space="preserve">10.5</t>
  </si>
  <si>
    <t xml:space="preserve">17</t>
  </si>
  <si>
    <t xml:space="preserve">9.5</t>
  </si>
  <si>
    <t xml:space="preserve">32</t>
  </si>
  <si>
    <t xml:space="preserve">lineHeight</t>
  </si>
  <si>
    <t xml:space="preserve">22px</t>
  </si>
  <si>
    <t xml:space="preserve">32px</t>
  </si>
  <si>
    <t xml:space="preserve">24px</t>
  </si>
  <si>
    <t xml:space="preserve">21px</t>
  </si>
  <si>
    <t xml:space="preserve">1.55</t>
  </si>
  <si>
    <t xml:space="preserve">1.5</t>
  </si>
  <si>
    <t xml:space="preserve">18px</t>
  </si>
  <si>
    <t xml:space="preserve">19px</t>
  </si>
  <si>
    <t xml:space="preserve">1.4</t>
  </si>
  <si>
    <t xml:space="preserve">1.6</t>
  </si>
  <si>
    <t xml:space="preserve">16px</t>
  </si>
  <si>
    <t xml:space="preserve">1.25</t>
  </si>
  <si>
    <t xml:space="preserve">1.2</t>
  </si>
  <si>
    <t xml:space="preserve">1.45</t>
  </si>
  <si>
    <t xml:space="preserve">fontWeight</t>
  </si>
  <si>
    <t xml:space="preserve">600</t>
  </si>
  <si>
    <t xml:space="preserve">700</t>
  </si>
  <si>
    <t xml:space="preserve">650</t>
  </si>
  <si>
    <t xml:space="preserve">600 (650 is off-scale)</t>
  </si>
  <si>
    <t xml:space="preserve">500</t>
  </si>
  <si>
    <t xml:space="preserve">400</t>
  </si>
  <si>
    <t xml:space="preserve">letterSpacing</t>
  </si>
  <si>
    <t xml:space="preserve">-0.01em</t>
  </si>
  <si>
    <t xml:space="preserve">.08em</t>
  </si>
  <si>
    <t xml:space="preserve">0.04em</t>
  </si>
  <si>
    <t xml:space="preserve">.07em</t>
  </si>
  <si>
    <t xml:space="preserve">0.05em</t>
  </si>
  <si>
    <t xml:space="preserve">0.06em</t>
  </si>
  <si>
    <t xml:space="preserve">.06em</t>
  </si>
  <si>
    <t xml:space="preserve">.09em</t>
  </si>
  <si>
    <t xml:space="preserve">.05em</t>
  </si>
  <si>
    <t xml:space="preserve">0.02em</t>
  </si>
  <si>
    <t xml:space="preserve">0.08em</t>
  </si>
  <si>
    <t xml:space="preserve">fontFamily</t>
  </si>
  <si>
    <t xml:space="preserve">var(--font-mono, monospace)</t>
  </si>
  <si>
    <t xml:space="preserve">inherit</t>
  </si>
  <si>
    <t xml:space="preserve">var(--font-mono, ui-monospace), monospace</t>
  </si>
  <si>
    <t xml:space="preserve">Kind</t>
  </si>
  <si>
    <t xml:space="preserve">Existing token with same value</t>
  </si>
  <si>
    <t xml:space="preserve">tailwind palette (off-brand)</t>
  </si>
  <si>
    <t xml:space="preserve">border-red-300</t>
  </si>
  <si>
    <t xml:space="preserve">bg-red-50</t>
  </si>
  <si>
    <t xml:space="preserve">text-red-900</t>
  </si>
  <si>
    <t xml:space="preserve">border-amber-300</t>
  </si>
  <si>
    <t xml:space="preserve">bg-amber-50</t>
  </si>
  <si>
    <t xml:space="preserve">text-amber-950</t>
  </si>
  <si>
    <t xml:space="preserve">border-amber-700</t>
  </si>
  <si>
    <t xml:space="preserve">bg-amber-950</t>
  </si>
  <si>
    <t xml:space="preserve">text-amber-100</t>
  </si>
  <si>
    <t xml:space="preserve">rgb/hsl colour</t>
  </si>
  <si>
    <t xml:space="preserve">rgba(0,0,0,.04)</t>
  </si>
  <si>
    <t xml:space="preserve">— no token</t>
  </si>
  <si>
    <t xml:space="preserve">rgba(0, 0, 0, 0.55)</t>
  </si>
  <si>
    <t xml:space="preserve">tailwind arbitrary</t>
  </si>
  <si>
    <t xml:space="preserve">text-[11px]</t>
  </si>
  <si>
    <t xml:space="preserve">tracking-[0.08em]</t>
  </si>
  <si>
    <t xml:space="preserve">text-[15px]</t>
  </si>
  <si>
    <t xml:space="preserve">hex colour</t>
  </si>
  <si>
    <t xml:space="preserve">#B3261E</t>
  </si>
  <si>
    <t xml:space="preserve">#fff</t>
  </si>
  <si>
    <t xml:space="preserve">--aptus-brand-text, --aptus-surface, --ink-on-navy</t>
  </si>
  <si>
    <t xml:space="preserve">rounded-[var(--radius-card-warm)]</t>
  </si>
  <si>
    <t xml:space="preserve">rounded-[var(--radius-input)]</t>
  </si>
  <si>
    <t xml:space="preserve">rounded-[var(--radius-pill)]</t>
  </si>
  <si>
    <t xml:space="preserve">accent-[var(--brand-navy)]</t>
  </si>
  <si>
    <t xml:space="preserve">text-[10px]</t>
  </si>
  <si>
    <t xml:space="preserve">min-w-[420px]</t>
  </si>
  <si>
    <t xml:space="preserve">min-w-[9rem]</t>
  </si>
  <si>
    <t xml:space="preserve">max-w-[14rem]</t>
  </si>
  <si>
    <t xml:space="preserve">rgba(0,0,0,0.35)</t>
  </si>
  <si>
    <t xml:space="preserve">rgba(0,0,0,.12)</t>
  </si>
  <si>
    <t xml:space="preserve">rgba(255,255,254,0.14)</t>
  </si>
  <si>
    <t xml:space="preserve">rgba(255,255,254,0.45)</t>
  </si>
  <si>
    <t xml:space="preserve">rgba(255,255,254,0.6)</t>
  </si>
  <si>
    <t xml:space="preserve">--status-signed-fg, --success</t>
  </si>
  <si>
    <t xml:space="preserve">#8A8A8A</t>
  </si>
  <si>
    <t xml:space="preserve">rgba(0,0,0,.08)</t>
  </si>
  <si>
    <t xml:space="preserve">Style objects re-declared per file (btn, h2, field …). Each should become one shared component or token.</t>
  </si>
  <si>
    <t xml:space="preserve">Style constant</t>
  </si>
  <si>
    <t xml:space="preserve">Files defining same name</t>
  </si>
  <si>
    <t xml:space="preserve">body</t>
  </si>
  <si>
    <t xml:space="preserve">btn</t>
  </si>
  <si>
    <t xml:space="preserve">btnBase</t>
  </si>
  <si>
    <t xml:space="preserve">btnDanger</t>
  </si>
  <si>
    <t xml:space="preserve">btnPrimary</t>
  </si>
  <si>
    <t xml:space="preserve">btnSecondary</t>
  </si>
  <si>
    <t xml:space="preserve">btnSmall</t>
  </si>
  <si>
    <t xml:space="preserve">byStatus</t>
  </si>
  <si>
    <t xml:space="preserve">card</t>
  </si>
  <si>
    <t xml:space="preserve">code</t>
  </si>
  <si>
    <t xml:space="preserve">credential</t>
  </si>
  <si>
    <t xml:space="preserve">dialog</t>
  </si>
  <si>
    <t xml:space="preserve">field</t>
  </si>
  <si>
    <t xml:space="preserve">fieldLabel</t>
  </si>
  <si>
    <t xml:space="preserve">groupHeadingStyle</t>
  </si>
  <si>
    <t xml:space="preserve">h1</t>
  </si>
  <si>
    <t xml:space="preserve">h2</t>
  </si>
  <si>
    <t xml:space="preserve">input</t>
  </si>
  <si>
    <t xml:space="preserve">label</t>
  </si>
  <si>
    <t xml:space="preserve">labelText</t>
  </si>
  <si>
    <t xml:space="preserve">linkBtn</t>
  </si>
  <si>
    <t xml:space="preserve">listStyle</t>
  </si>
  <si>
    <t xml:space="preserve">metadata</t>
  </si>
  <si>
    <t xml:space="preserve">muted</t>
  </si>
  <si>
    <t xml:space="preserve">opsCellStyle</t>
  </si>
  <si>
    <t xml:space="preserve">opsMonoStyle</t>
  </si>
  <si>
    <t xml:space="preserve">overlay</t>
  </si>
  <si>
    <t xml:space="preserve">panelHeading</t>
  </si>
  <si>
    <t xml:space="preserve">saveBtn</t>
  </si>
  <si>
    <t xml:space="preserve">selectStyle</t>
  </si>
  <si>
    <t xml:space="preserve">style</t>
  </si>
  <si>
    <t xml:space="preserve">testBtn</t>
  </si>
  <si>
    <t xml:space="preserve">Domain</t>
  </si>
  <si>
    <t xml:space="preserve">Code(s)</t>
  </si>
  <si>
    <t xml:space="preserve">Shown today as</t>
  </si>
  <si>
    <t xml:space="preserve">Proposed plain label</t>
  </si>
  <si>
    <t xml:space="preserve">Note</t>
  </si>
  <si>
    <t xml:space="preserve">Solution status</t>
  </si>
  <si>
    <t xml:space="preserve">DRAFT</t>
  </si>
  <si>
    <t xml:space="preserve">Draft</t>
  </si>
  <si>
    <t xml:space="preserve">Being set up; not callable if RETIRED only</t>
  </si>
  <si>
    <t xml:space="preserve">ACTIVE</t>
  </si>
  <si>
    <t xml:space="preserve">Active</t>
  </si>
  <si>
    <t xml:space="preserve">Owners assigned</t>
  </si>
  <si>
    <t xml:space="preserve">RESTRICTED</t>
  </si>
  <si>
    <t xml:space="preserve">Restricted</t>
  </si>
  <si>
    <t xml:space="preserve">Needs an owner</t>
  </si>
  <si>
    <t xml:space="preserve">Lost an owner; still served</t>
  </si>
  <si>
    <t xml:space="preserve">RETIRED</t>
  </si>
  <si>
    <t xml:space="preserve">Retired</t>
  </si>
  <si>
    <t xml:space="preserve">Northbound refuses (R3)</t>
  </si>
  <si>
    <t xml:space="preserve">Interface status</t>
  </si>
  <si>
    <t xml:space="preserve">draft</t>
  </si>
  <si>
    <t xml:space="preserve">Draft feed</t>
  </si>
  <si>
    <t xml:space="preserve">Served with DRAFT header</t>
  </si>
  <si>
    <t xml:space="preserve">active</t>
  </si>
  <si>
    <t xml:space="preserve">Published feed</t>
  </si>
  <si>
    <t xml:space="preserve">DEPRECATED</t>
  </si>
  <si>
    <t xml:space="preserve">deprecated</t>
  </si>
  <si>
    <t xml:space="preserve">Retiring</t>
  </si>
  <si>
    <t xml:space="preserve">Refused</t>
  </si>
  <si>
    <t xml:space="preserve">Grant decision</t>
  </si>
  <si>
    <t xml:space="preserve">REQUESTED</t>
  </si>
  <si>
    <t xml:space="preserve">Requested</t>
  </si>
  <si>
    <t xml:space="preserve">Waiting for review</t>
  </si>
  <si>
    <t xml:space="preserve">APPROVED</t>
  </si>
  <si>
    <t xml:space="preserve">Approved</t>
  </si>
  <si>
    <t xml:space="preserve">Access approved</t>
  </si>
  <si>
    <t xml:space="preserve">SANDBOX_ONLY</t>
  </si>
  <si>
    <t xml:space="preserve">Sandbox only</t>
  </si>
  <si>
    <t xml:space="preserve">Approved for Sandbox</t>
  </si>
  <si>
    <t xml:space="preserve">READ_ONLY</t>
  </si>
  <si>
    <t xml:space="preserve">Read only</t>
  </si>
  <si>
    <t xml:space="preserve">Approved read-only</t>
  </si>
  <si>
    <t xml:space="preserve">REJECTED</t>
  </si>
  <si>
    <t xml:space="preserve">Rejected</t>
  </si>
  <si>
    <t xml:space="preserve">Declined</t>
  </si>
  <si>
    <t xml:space="preserve">reason not captured</t>
  </si>
  <si>
    <t xml:space="preserve">EXPIRED</t>
  </si>
  <si>
    <t xml:space="preserve">Expired</t>
  </si>
  <si>
    <t xml:space="preserve">Access ended</t>
  </si>
  <si>
    <t xml:space="preserve">REVOKED</t>
  </si>
  <si>
    <t xml:space="preserve">Revoked</t>
  </si>
  <si>
    <t xml:space="preserve">Access withdrawn</t>
  </si>
  <si>
    <t xml:space="preserve">admin only</t>
  </si>
  <si>
    <t xml:space="preserve">Grant rule</t>
  </si>
  <si>
    <t xml:space="preserve">SELF_APPROVAL</t>
  </si>
  <si>
    <t xml:space="preserve">(403)</t>
  </si>
  <si>
    <t xml:space="preserve">You raised this — a colleague must review</t>
  </si>
  <si>
    <t xml:space="preserve">GRANT_REQUIRES_EXPIRY</t>
  </si>
  <si>
    <t xml:space="preserve">Needs an end date before approval</t>
  </si>
  <si>
    <t xml:space="preserve">WRITE_CHECKLIST_REQUIRED</t>
  </si>
  <si>
    <t xml:space="preserve">Confirm the write checklist</t>
  </si>
  <si>
    <t xml:space="preserve">Credential</t>
  </si>
  <si>
    <t xml:space="preserve">active / expired / revoked / never used</t>
  </si>
  <si>
    <t xml:space="preserve">text</t>
  </si>
  <si>
    <t xml:space="preserve">Key: live / ended / withdrawn / not yet used</t>
  </si>
  <si>
    <t xml:space="preserve">Token auth</t>
  </si>
  <si>
    <t xml:space="preserve">NO_TOKEN / UNKNOWN_TOKEN / INACTIVE / EXPIRED / REVOKED / SOLUTION_RETIRED / SOLUTION_MISSING</t>
  </si>
  <si>
    <t xml:space="preserve">401 (all)</t>
  </si>
  <si>
    <t xml:space="preserve">Key missing or not valid</t>
  </si>
  <si>
    <t xml:space="preserve">one uniform 401 by design</t>
  </si>
  <si>
    <t xml:space="preserve">Access refusal</t>
  </si>
  <si>
    <t xml:space="preserve">NO_APPROVED_GRANT</t>
  </si>
  <si>
    <t xml:space="preserve">403</t>
  </si>
  <si>
    <t xml:space="preserve">No access approved for this environment</t>
  </si>
  <si>
    <t xml:space="preserve">GRANT_EXPIRED</t>
  </si>
  <si>
    <t xml:space="preserve">Access ended on &lt;date&gt;</t>
  </si>
  <si>
    <t xml:space="preserve">GRANT_REVOKED</t>
  </si>
  <si>
    <t xml:space="preserve">INTERFACE_NOT_FOUND / NOT_THIS_SOLUTION</t>
  </si>
  <si>
    <t xml:space="preserve">404</t>
  </si>
  <si>
    <t xml:space="preserve">No such data feed</t>
  </si>
  <si>
    <t xml:space="preserve">INTERFACE_DEPRECATED</t>
  </si>
  <si>
    <t xml:space="preserve">Feed retired</t>
  </si>
  <si>
    <t xml:space="preserve">WRITE_NOT_SERVED / READ_ONLY_INTERFACE / INTERFACE_NOT_ACTIVE</t>
  </si>
  <si>
    <t xml:space="preserve">Writes not allowed on this feed</t>
  </si>
  <si>
    <t xml:space="preserve">Binding refusal</t>
  </si>
  <si>
    <t xml:space="preserve">NO_CONNECTION</t>
  </si>
  <si>
    <t xml:space="preserve">No SAP system connected</t>
  </si>
  <si>
    <t xml:space="preserve">NO_MATCH_FOR_ENVIRONMENT</t>
  </si>
  <si>
    <t xml:space="preserve">No SAP system for this environment</t>
  </si>
  <si>
    <t xml:space="preserve">NO_MATCH_FOR_CLIENT</t>
  </si>
  <si>
    <t xml:space="preserve">No SAP system for this SAP client</t>
  </si>
  <si>
    <t xml:space="preserve">AMBIGUOUS</t>
  </si>
  <si>
    <t xml:space="preserve">Two SAP systems claim this environment</t>
  </si>
  <si>
    <t xml:space="preserve">NO_DECLARED_CANDIDATE</t>
  </si>
  <si>
    <t xml:space="preserve">SAP systems have no environment set</t>
  </si>
  <si>
    <t xml:space="preserve">UNDECLARED_ENVIRONMENT_WRITE</t>
  </si>
  <si>
    <t xml:space="preserve">Set the SAP system environment before writing</t>
  </si>
  <si>
    <t xml:space="preserve">CONNECTION_UNREADABLE</t>
  </si>
  <si>
    <t xml:space="preserve">403/409</t>
  </si>
  <si>
    <t xml:space="preserve">SAP system secrets unreadable — re-save</t>
  </si>
  <si>
    <t xml:space="preserve">UNKNOWN_PRODUCT</t>
  </si>
  <si>
    <t xml:space="preserve">Feed names an unknown SAP product</t>
  </si>
  <si>
    <t xml:space="preserve">Read result</t>
  </si>
  <si>
    <t xml:space="preserve">OK</t>
  </si>
  <si>
    <t xml:space="preserve">200</t>
  </si>
  <si>
    <t xml:space="preserve">Data</t>
  </si>
  <si>
    <t xml:space="preserve">EMPTY</t>
  </si>
  <si>
    <t xml:space="preserve">No records (not an error)</t>
  </si>
  <si>
    <t xml:space="preserve">NEEDS_SETUP</t>
  </si>
  <si>
    <t xml:space="preserve">SAP refused (credentials or authorisation)</t>
  </si>
  <si>
    <t xml:space="preserve">401 vs 403 now in detail text</t>
  </si>
  <si>
    <t xml:space="preserve">NOT_FOUND</t>
  </si>
  <si>
    <t xml:space="preserve">Dataset not on this SAP system</t>
  </si>
  <si>
    <t xml:space="preserve">TIMEOUT</t>
  </si>
  <si>
    <t xml:space="preserve">504</t>
  </si>
  <si>
    <t xml:space="preserve">SAP too slow</t>
  </si>
  <si>
    <t xml:space="preserve">ERROR</t>
  </si>
  <si>
    <t xml:space="preserve">502</t>
  </si>
  <si>
    <t xml:space="preserve">SAP error</t>
  </si>
  <si>
    <t xml:space="preserve">Connection health</t>
  </si>
  <si>
    <t xml:space="preserve">Reachable · last 200</t>
  </si>
  <si>
    <t xml:space="preserve">Metadata OK</t>
  </si>
  <si>
    <t xml:space="preserve">probes one service only</t>
  </si>
  <si>
    <t xml:space="preserve">UNAUTHORIZED</t>
  </si>
  <si>
    <t xml:space="preserve">Probe failed</t>
  </si>
  <si>
    <t xml:space="preserve">SAP rejected the credentials</t>
  </si>
  <si>
    <t xml:space="preserve">Probed service missing</t>
  </si>
  <si>
    <t xml:space="preserve">No answer</t>
  </si>
  <si>
    <t xml:space="preserve">NO_PROBE_PATH</t>
  </si>
  <si>
    <t xml:space="preserve">Nothing to probe</t>
  </si>
  <si>
    <t xml:space="preserve">Catalogue badge</t>
  </si>
  <si>
    <t xml:space="preserve">ACTIVATED</t>
  </si>
  <si>
    <t xml:space="preserve">Activated · metadata only / read verified</t>
  </si>
  <si>
    <t xml:space="preserve">Reachable (metadata) / Reads proven</t>
  </si>
  <si>
    <t xml:space="preserve">Needs setup</t>
  </si>
  <si>
    <t xml:space="preserve">SAP refused</t>
  </si>
  <si>
    <t xml:space="preserve">AVAILABLE</t>
  </si>
  <si>
    <t xml:space="preserve">Available</t>
  </si>
  <si>
    <t xml:space="preserve">Event — subscribe only</t>
  </si>
  <si>
    <t xml:space="preserve">NOT_PROBEABLE</t>
  </si>
  <si>
    <t xml:space="preserve">Not probeable</t>
  </si>
  <si>
    <t xml:space="preserve">No OData endpoint</t>
  </si>
  <si>
    <t xml:space="preserve">REFERENCE</t>
  </si>
  <si>
    <t xml:space="preserve">Reference</t>
  </si>
  <si>
    <t xml:space="preserve">Design-time content</t>
  </si>
  <si>
    <t xml:space="preserve">NOT_CHECKED / STALE</t>
  </si>
  <si>
    <t xml:space="preserve">Not checked · stale · probed &lt;date&gt;</t>
  </si>
  <si>
    <t xml:space="preserve">Unknown · last proven &lt;age&gt;</t>
  </si>
  <si>
    <t xml:space="preserve">TTL 30 d</t>
  </si>
  <si>
    <t xml:space="preserve">Not found</t>
  </si>
  <si>
    <t xml:space="preserve">Not on this SAP system</t>
  </si>
  <si>
    <t xml:space="preserve">Broker-run</t>
  </si>
  <si>
    <t xml:space="preserve">NO_CREDENTIAL</t>
  </si>
  <si>
    <t xml:space="preserve">refused</t>
  </si>
  <si>
    <t xml:space="preserve">No key for this app yet</t>
  </si>
  <si>
    <t xml:space="preserve">AMBIGUOUS_CREDENTIAL</t>
  </si>
  <si>
    <t xml:space="preserve">Pick which environment to run as</t>
  </si>
  <si>
    <t xml:space="preserve">Replay bug</t>
  </si>
  <si>
    <t xml:space="preserve">NO_ENTITY_SET</t>
  </si>
  <si>
    <t xml:space="preserve">Choose a dataset</t>
  </si>
  <si>
    <t xml:space="preserve">API error code</t>
  </si>
  <si>
    <t xml:space="preserve">UNAUTHENTICATED / FORBIDDEN / NOT_FOUND / VALIDATION_ERROR / RATE_LIMITED / CONNECTION_NOT_CONFIGURED / UPSTREAM_ERROR / UPSTREAM_TIMEOUT / CONFLICT / INTERNAL</t>
  </si>
  <si>
    <t xml:space="preserve">envelope code</t>
  </si>
  <si>
    <t xml:space="preserve">(developer-facing; keep codes, add reason)</t>
  </si>
  <si>
    <t xml:space="preserve">Hard-coded user-facing strings found in JSX (a floor: strings built in expressions are not captured). No copy catalogue or i18n layer exists.</t>
  </si>
  <si>
    <t xml:space="preserve">Text</t>
  </si>
  <si>
    <t xml:space="preserve">What this screen will not tell you</t>
  </si>
  <si>
    <t xml:space="preserve">Things that look like bugs and are not</t>
  </si>
  <si>
    <t xml:space="preserve">aria-label</t>
  </si>
  <si>
    <t xml:space="preserve">Other screens in this workspace</t>
  </si>
  <si>
    <t xml:space="preserve">CoreEdge Console</t>
  </si>
  <si>
    <t xml:space="preserve">The one idea worth reading first</t>
  </si>
  <si>
    <t xml:space="preserve">Incident rules</t>
  </si>
  <si>
    <t xml:space="preserve">Catalogue health is platform-scoped</t>
  </si>
  <si>
    <t xml:space="preserve">This deployment cannot store SAP credentials yet</t>
  </si>
  <si>
    <t xml:space="preserve">Secrets are sealed</t>
  </si>
  <si>
    <t xml:space="preserve">Running on the shared environment tenant</t>
  </si>
  <si>
    <t xml:space="preserve">No tenant connected</t>
  </si>
  <si>
    <t xml:space="preserve">No organization context</t>
  </si>
  <si>
    <t xml:space="preserve">Register your first solution</t>
  </si>
  <si>
    <t xml:space="preserve">No SAP tenant connected</t>
  </si>
  <si>
    <t xml:space="preserve">Decode the jargon</t>
  </si>
  <si>
    <t xml:space="preserve">Glossary — decode the jargon</t>
  </si>
  <si>
    <t xml:space="preserve">Search glossary</t>
  </si>
  <si>
    <t xml:space="preserve">Decode the jargon — open glossary</t>
  </si>
  <si>
    <t xml:space="preserve">Manual</t>
  </si>
  <si>
    <t xml:space="preserve">button</t>
  </si>
  <si>
    <t xml:space="preserve">clear</t>
  </si>
  <si>
    <t xml:space="preserve">What is wired to what</t>
  </si>
  <si>
    <t xml:space="preserve">Capability Catalogue</t>
  </si>
  <si>
    <t xml:space="preserve">Source and domain filter</t>
  </si>
  <si>
    <t xml:space="preserve">Package filter</t>
  </si>
  <si>
    <t xml:space="preserve">Status filter</t>
  </si>
  <si>
    <t xml:space="preserve">What does </t>
  </si>
  <si>
    <t xml:space="preserve">Close</t>
  </si>
  <si>
    <t xml:space="preserve">Content types</t>
  </si>
  <si>
    <t xml:space="preserve">Process steps</t>
  </si>
  <si>
    <t xml:space="preserve">h3</t>
  </si>
  <si>
    <t xml:space="preserve">Tenant readiness</t>
  </si>
  <si>
    <t xml:space="preserve">No access has been requested yet</t>
  </si>
  <si>
    <t xml:space="preserve">Progressive trust</t>
  </si>
  <si>
    <t xml:space="preserve">Nothing to request access for yet</t>
  </si>
  <si>
    <t xml:space="preserve">Request access</t>
  </si>
  <si>
    <t xml:space="preserve">Runtime credentials</t>
  </si>
  <si>
    <t xml:space="preserve">Add to interface</t>
  </si>
  <si>
    <t xml:space="preserve">No interfaces yet</t>
  </si>
  <si>
    <t xml:space="preserve">Entity set</t>
  </si>
  <si>
    <t xml:space="preserve">Accountability</t>
  </si>
  <si>
    <t xml:space="preserve">Workspaces</t>
  </si>
  <si>
    <t xml:space="preserve">locked</t>
  </si>
  <si>
    <t xml:space="preserve">Sign out</t>
  </si>
  <si>
    <t xml:space="preserve">Authorized tenants</t>
  </si>
  <si>
    <t xml:space="preserve">No interfaces to test</t>
  </si>
  <si>
    <t xml:space="preserve">Run a read</t>
  </si>
  <si>
    <t xml:space="preserve">Saved test cases</t>
  </si>
  <si>
    <t xml:space="preserve">Scaffold</t>
  </si>
  <si>
    <t xml:space="preserve">Run as credential</t>
  </si>
  <si>
    <t xml:space="preserve">E2E_TEST_SECRET</t>
  </si>
  <si>
    <t xml:space="preserve">Must match the env var on the server.</t>
  </si>
  <si>
    <t xml:space="preserve">Internal-testing bypass for the magic-link flow. Pick a role to sign in as. Real production users are not accessible from this page.</t>
  </si>
  <si>
    <t xml:space="preserve">To fix:</t>
  </si>
  <si>
    <t xml:space="preserve">The buttons below still work — this is what the server predicts, not a refusal from this page.</t>
  </si>
  <si>
    <t xml:space="preserve">Is the portfolio governed? These are complete records, not samples — every solution, connection, credential and decision in scope is listed, and each screen states what it can and cannot establish.</t>
  </si>
  <si>
    <t xml:space="preserve">What can be done from here</t>
  </si>
  <si>
    <t xml:space="preserve">) : screen.available ? (</t>
  </si>
  <si>
    <t xml:space="preserve">This screen is not built yet.</t>
  </si>
  <si>
    <t xml:space="preserve">Getting there.</t>
  </si>
  <si>
    <t xml:space="preserve">The developer guide could not be read from this deployment (docs/coreedge-developer-guide.md). It exists in the repository — this page serves it and found nothing to serve.</t>
  </si>
  <si>
    <t xml:space="preserve">One app, three workspaces, three audiences. Each screen states what it can establish and what it cannot — this manual is mostly about the second half, because that is the part people misread.</t>
  </si>
  <si>
    <t xml:space="preserve">This covers the CoreEdge Console only — Developer Studio, the Operations Center and Control Tower. The consulting workspaces reached from the same menu (Affirm, Presales, Discovery, the SAP explorer) and the assessment portal are not documented here yet. On a Console screen, the</t>
  </si>
  <si>
    <t xml:space="preserve">A number appears on these screens only when a real feed can produce it. Where a feed under-reports, the screen says so rather than rounding the gap away. That is why an empty incident list does not mean healthy, why a latency figure states what it is averaged over, and why some slots show a dash instead of a zero. An absence here is information, not a rendering fault.</t>
  </si>
  <si>
    <t xml:space="preserve">Open to</t>
  </si>
  <si>
    <t xml:space="preserve">Can change things</t>
  </si>
  <si>
    <t xml:space="preserve">Rendered from the constants the endpoint scores with, not copied from them. If a threshold changes, this list changes with it — which is why severities are named constants rather than inline checks.</t>
  </si>
  <si>
    <t xml:space="preserve">Fires when</t>
  </si>
  <si>
    <t xml:space="preserve">Why that severity</t>
  </si>
  <si>
    <t xml:space="preserve">What to do</t>
  </si>
  <si>
    <t xml:space="preserve">Is the live integration healthy right now? Nothing on these screens is estimated. A number appears only when a real feed can produce it, and each screen states what its feed cannot see.</t>
  </si>
  <si>
    <t xml:space="preserve">What this workspace will not show you</t>
  </si>
  <si>
    <t xml:space="preserve">Which capabilities each solution is allowed to consume, and who agreed. These decisions are enforced: the runtime checks a live, unexpired, unrevoked grant for this capability, operation and environment on every call a solution makes. Expiry and revocation both end access — and both are reflected here immediately.</t>
  </si>
  <si>
    <t xml:space="preserve">The SAP tenants this organization is wired to. Health is only ever what a probe actually returned.</t>
  </si>
  <si>
    <t xml:space="preserve">SAP_CONNECTION_ENCRYPTION_KEY</t>
  </si>
  <si>
    <t xml:space="preserve">openssl rand -hex 32</t>
  </si>
  <si>
    <t xml:space="preserve">Passwords, bearer tokens and client secrets are encrypted at rest with AES-256-GCM and are</t>
  </si>
  <si>
    <t xml:space="preserve">never returned to this console</t>
  </si>
  <si>
    <t xml:space="preserve">. The redaction is structural: the queries behind this screen do not select the sealed column at all, so there is no value here to reveal — not to you, not to your browser, and not to an API response.</t>
  </si>
  <si>
    <t xml:space="preserve">What this tenant actually exposes. A capability is shown as Activated only where a live probe returned 200 — an empty result, a missing communication arrangement and an error are three different things, and this page keeps them apart.</t>
  </si>
  <si>
    <t xml:space="preserve">and the catalogue for its product appears here.</t>
  </si>
  <si>
    <t xml:space="preserve">Governed configuration: which catalogue service each solution consumes, at which operation. This is config, never code — and defining one grants no access.</t>
  </si>
  <si>
    <t xml:space="preserve">Your account is not attached to an organization, so there is no tenant to scope solutions and connections to. Open Studio from an organization account to see its governed integrations.</t>
  </si>
  <si>
    <t xml:space="preserve">A solution is the passport for something you are building: what business problem it solves, who owns it, and which SAP capabilities it is allowed to consume. Nothing is governed until a solution exists.</t>
  </si>
  <si>
    <t xml:space="preserve">Register a solution</t>
  </si>
  <si>
    <t xml:space="preserve">explore what this tenant can do</t>
  </si>
  <si>
    <t xml:space="preserve">Studio shows a capability as</t>
  </si>
  <si>
    <t xml:space="preserve">Activated</t>
  </si>
  <si>
    <t xml:space="preserve">only where a live probe against a connected tenant returned 200. Until this organization has a SAP connection — or the deployment has one configured — there is nothing to probe, so nothing is claimed.</t>
  </si>
  <si>
    <t xml:space="preserve">What this organization is building against SAP, and who answers for it. A solution cannot be ACTIVE without a technical, business and support owner — and if it loses one, it drops to RESTRICTED.</t>
  </si>
  <si>
    <t xml:space="preserve">Prove an interface against the real tenant before you write code against it, then take the contract to your own repository. An empty result is a result — it is not a failure, and this console keeps the difference visible.</t>
  </si>
  <si>
    <t xml:space="preserve">Plain-language help</t>
  </si>
  <si>
    <t xml:space="preserve">Every SAP term in this tool, explained without the jargon.</t>
  </si>
  <si>
    <t xml:space="preserve">Why it matters —</t>
  </si>
  <si>
    <t xml:space="preserve">Guide me</t>
  </si>
  <si>
    <t xml:space="preserve">Decode jargon</t>
  </si>
  <si>
    <t xml:space="preserve">Everything</t>
  </si>
  <si>
    <t xml:space="preserve">unknown actor</t>
  </si>
  <si>
    <t xml:space="preserve">re-request to extend</t>
  </si>
  <si>
    <t xml:space="preserve">unbounded.length ? (</t>
  </si>
  <si>
    <t xml:space="preserve">These settled grants have no expiry, so nothing will end them on its own. They predate the rule that now refuses to approve ANY unbounded grant, reads included. Revoking the credential does not help: it suspends the means of using a grant, and the next credential issued for that solution reactivates it.</t>
  </si>
  <si>
    <t xml:space="preserve">Revoke each one, then raise a bounded request to replace it.</t>
  </si>
  <si>
    <t xml:space="preserve">Revocation takes effect on the next call and leaves the original decision intact in the ledger.</t>
  </si>
  <si>
    <t xml:space="preserve">not yet decided</t>
  </si>
  <si>
    <t xml:space="preserve">) : revoked ? (</t>
  </si>
  <si>
    <t xml:space="preserve">revoked</t>
  </si>
  <si>
    <t xml:space="preserve">) : grant.authorises.read || grant.authorises.write ? (</t>
  </si>
  <si>
    <t xml:space="preserve">settled</t>
  </si>
  <si>
    <t xml:space="preserve">Approve</t>
  </si>
  <si>
    <t xml:space="preserve">Refuse</t>
  </si>
  <si>
    <t xml:space="preserve">Revoke</t>
  </si>
  <si>
    <t xml:space="preserve">Why is this access being withdrawn?</t>
  </si>
  <si>
    <t xml:space="preserve">Takes effect on the next call. The decision stays in the ledger as it was.</t>
  </si>
  <si>
    <t xml:space="preserve">Cancel</t>
  </si>
  <si>
    <t xml:space="preserve">Go to the Console</t>
  </si>
  <si>
    <t xml:space="preserve">Back</t>
  </si>
  <si>
    <t xml:space="preserve">Every screen, and what it will not tell you</t>
  </si>
  <si>
    <t xml:space="preserve">Solution</t>
  </si>
  <si>
    <t xml:space="preserve">all</t>
  </si>
  <si>
    <t xml:space="preserve">Environment</t>
  </si>
  <si>
    <t xml:space="preserve">Environment binding</t>
  </si>
  <si>
    <t xml:space="preserve">Probe coverage</t>
  </si>
  <si>
    <t xml:space="preserve">Guided refresh</t>
  </si>
  <si>
    <t xml:space="preserve">Export from a</t>
  </si>
  <si>
    <t xml:space="preserve">logged-in</t>
  </si>
  <si>
    <t xml:space="preserve">SAP Business Accelerator Hub session and commit the drop file to the repository (the ToU-compliant path — this product never fetches api.sap.com). Deploy the commit.</t>
  </si>
  <si>
    <t xml:space="preserve">Type the confirmation phrase, exactly.</t>
  </si>
  <si>
    <t xml:space="preserve">Confirmation phrase —</t>
  </si>
  <si>
    <t xml:space="preserve">Traffic →</t>
  </si>
  <si>
    <t xml:space="preserve">Binding backlog</t>
  </si>
  <si>
    <t xml:space="preserve">to clear</t>
  </si>
  <si>
    <t xml:space="preserve">Why this severity.</t>
  </si>
  <si>
    <t xml:space="preserve">What to do.</t>
  </si>
  <si>
    <t xml:space="preserve">What is being watched</t>
  </si>
  <si>
    <t xml:space="preserve">Scheduled jobs</t>
  </si>
  <si>
    <t xml:space="preserve">) : j.lastRun.ok ? (</t>
  </si>
  <si>
    <t xml:space="preserve">Not observable.</t>
  </si>
  <si>
    <t xml:space="preserve">The buckets a call passes</t>
  </si>
  <si>
    <t xml:space="preserve">Include revoked credentials</t>
  </si>
  <si>
    <t xml:space="preserve">Loading the topology…</t>
  </si>
  <si>
    <t xml:space="preserve">Nothing is registered for this organization yet — no solutions, no interfaces, no connections. There is nothing here to observe, so this screen makes no claim about health. Register a solution in Developer Studio to begin.</t>
  </si>
  <si>
    <t xml:space="preserve">Will not tell you:</t>
  </si>
  <si>
    <t xml:space="preserve">No incident rule watches this.</t>
  </si>
  <si>
    <t xml:space="preserve">arrows point the way a request travels, app to SAP</t>
  </si>
  <si>
    <t xml:space="preserve">≥ on a line: recorded calls, a floor rather than a total.</t>
  </si>
  <si>
    <t xml:space="preserve">Observed over</t>
  </si>
  <si>
    <t xml:space="preserve">Window</t>
  </si>
  <si>
    <t xml:space="preserve">[s, 0])) as Record</t>
  </si>
  <si>
    <t xml:space="preserve">coverage</t>
  </si>
  <si>
    <t xml:space="preserve">tenant status</t>
  </si>
  <si>
    <t xml:space="preserve">Catalogue not imported</t>
  </si>
  <si>
    <t xml:space="preserve">Use “Rebuild from API reference” in the header above to populate it.</t>
  </si>
  <si>
    <t xml:space="preserve">Coverage</t>
  </si>
  <si>
    <t xml:space="preserve">tiles —</t>
  </si>
  <si>
    <t xml:space="preserve">Tenant status</t>
  </si>
  <si>
    <t xml:space="preserve">badges —</t>
  </si>
  <si>
    <t xml:space="preserve">whether an item is live on this tenant</t>
  </si>
  <si>
    <t xml:space="preserve">product</t>
  </si>
  <si>
    <t xml:space="preserve">Source</t>
  </si>
  <si>
    <t xml:space="preserve">Package</t>
  </si>
  <si>
    <t xml:space="preserve">Confirm data reads</t>
  </si>
  <si>
    <t xml:space="preserve">Illustrative</t>
  </si>
  <si>
    <t xml:space="preserve">✓ data-confirmed</t>
  </si>
  <si>
    <t xml:space="preserve">No items match these filters.</t>
  </si>
  <si>
    <t xml:space="preserve">limit &amp;&amp; (</t>
  </si>
  <si>
    <t xml:space="preserve">Previous</t>
  </si>
  <si>
    <t xml:space="preserve">Next</t>
  </si>
  <si>
    <t xml:space="preserve">Loading item…</t>
  </si>
  <si>
    <t xml:space="preserve">api.sap.com</t>
  </si>
  <si>
    <t xml:space="preserve">Capability ladder</t>
  </si>
  <si>
    <t xml:space="preserve">(v4 best-effort)</t>
  </si>
  <si>
    <t xml:space="preserve">Comm. scenarios:</t>
  </si>
  <si>
    <t xml:space="preserve">Process blueprint</t>
  </si>
  <si>
    <t xml:space="preserve">0 &amp;&amp; count * 100</t>
  </si>
  <si>
    <t xml:space="preserve">) : partial ? (</t>
  </si>
  <si>
    <t xml:space="preserve">No process steps were recorded for this blueprint.</t>
  </si>
  <si>
    <t xml:space="preserve">data-confirmed (read a live row) ·</t>
  </si>
  <si>
    <t xml:space="preserve">authorized ($metadata reachable)</t>
  </si>
  <si>
    <t xml:space="preserve">AI APIs</t>
  </si>
  <si>
    <t xml:space="preserve">A request records which capability a solution needs, at which operation and in which environment, and why. Nothing is decided until a second person reviews it.</t>
  </si>
  <si>
    <t xml:space="preserve">Capability</t>
  </si>
  <si>
    <t xml:space="preserve">Env</t>
  </si>
  <si>
    <t xml:space="preserve">Decision</t>
  </si>
  <si>
    <t xml:space="preserve">Justification</t>
  </si>
  <si>
    <t xml:space="preserve">Review</t>
  </si>
  <si>
    <t xml:space="preserve">⚠ write</t>
  </si>
  <si>
    <t xml:space="preserve">) : isOwnRequest ? (</t>
  </si>
  <si>
    <t xml:space="preserve">You raised this request — someone else must review it.</t>
  </si>
  <si>
    <t xml:space="preserve">This describes what has been approved. It does not enforce an order between environments — but each approved grant is enforced: the runtime honours it on every call until it expires or is revoked.</t>
  </si>
  <si>
    <t xml:space="preserve">A request is always raised against an interface, so that what is approved matches exactly what the runtime will look for. Add one from</t>
  </si>
  <si>
    <t xml:space="preserve">first.</t>
  </si>
  <si>
    <t xml:space="preserve">Ask for a capability on behalf of a solution. A second person decides — you cannot approve your own request.</t>
  </si>
  <si>
    <t xml:space="preserve">Choose an interface…</t>
  </si>
  <si>
    <t xml:space="preserve">Requesting</t>
  </si>
  <si>
    <t xml:space="preserve">for</t>
  </si>
  <si>
    <t xml:space="preserve">. The capability and operation come from the interface, so what is approved is exactly what the runtime will match.</t>
  </si>
  <si>
    <t xml:space="preserve">Expires</t>
  </si>
  <si>
    <t xml:space="preserve">(required)</t>
  </si>
  <si>
    <t xml:space="preserve">Why this solution needs it</t>
  </si>
  <si>
    <t xml:space="preserve">A client credential is what a deployed application uses to call CoreEdge. It is issued per solution</t>
  </si>
  <si>
    <t xml:space="preserve">and environment</t>
  </si>
  <si>
    <t xml:space="preserve">SAP client (optional)</t>
  </si>
  <si>
    <t xml:space="preserve">Only for systems that address one — on-premise and RISE. Leave empty otherwise.</t>
  </si>
  <si>
    <t xml:space="preserve">Issue credential</t>
  </si>
  <si>
    <t xml:space="preserve">You own this solution, so you cannot mint its runtime credential — the same second-pair-of-eyes rule that applies to approving access. Ask a colleague to issue it.</t>
  </si>
  <si>
    <t xml:space="preserve">Copy</t>
  </si>
  <si>
    <t xml:space="preserve">State</t>
  </si>
  <si>
    <t xml:space="preserve">Last used</t>
  </si>
  <si>
    <t xml:space="preserve">Actions</t>
  </si>
  <si>
    <t xml:space="preserve">Rotate</t>
  </si>
  <si>
    <t xml:space="preserve">This organization has no SAP connection yet, so there is nothing to probe — and nothing anywhere in Studio will claim a capability is activated.</t>
  </si>
  <si>
    <t xml:space="preserve">Alias</t>
  </si>
  <si>
    <t xml:space="preserve">Key</t>
  </si>
  <si>
    <t xml:space="preserve">Product</t>
  </si>
  <si>
    <t xml:space="preserve">Base URL</t>
  </si>
  <si>
    <t xml:space="preserve">Secret</t>
  </si>
  <si>
    <t xml:space="preserve">Health</t>
  </si>
  <si>
    <t xml:space="preserve">Write</t>
  </si>
  <si>
    <t xml:space="preserve">Test</t>
  </si>
  <si>
    <t xml:space="preserve">not declared</t>
  </si>
  <si>
    <t xml:space="preserve">🔒 Sealed</t>
  </si>
  <si>
    <t xml:space="preserve">Basic — communication user</t>
  </si>
  <si>
    <t xml:space="preserve">Bearer token</t>
  </si>
  <si>
    <t xml:space="preserve">OAuth client credentials</t>
  </si>
  <si>
    <t xml:space="preserve">OAuth SAML bearer — SuccessFactors</t>
  </si>
  <si>
    <t xml:space="preserve">API key header — SAP Business Accelerator Hub sandbox</t>
  </si>
  <si>
    <t xml:space="preserve">Saving an existing product + key</t>
  </si>
  <si>
    <t xml:space="preserve">replaces</t>
  </si>
  <si>
    <t xml:space="preserve">it, including its credentials — secrets are resealed on every save, so they must be entered each time. They are never readable afterwards, not even here.</t>
  </si>
  <si>
    <t xml:space="preserve">Creates a</t>
  </si>
  <si>
    <t xml:space="preserve">. This records intent only — it grants no access. Access is requested and decided separately.</t>
  </si>
  <si>
    <t xml:space="preserve">Operation</t>
  </si>
  <si>
    <t xml:space="preserve">READ</t>
  </si>
  <si>
    <t xml:space="preserve">CREATE — write, stronger review</t>
  </si>
  <si>
    <t xml:space="preserve">UPDATE — write, stronger review</t>
  </si>
  <si>
    <t xml:space="preserve">An interface records that a solution consumes one catalogue service, at one operation. Add one from Discover — open a capability and choose “Add to interface”.</t>
  </si>
  <si>
    <t xml:space="preserve">Interface</t>
  </si>
  <si>
    <t xml:space="preserve">Ver</t>
  </si>
  <si>
    <t xml:space="preserve">Status</t>
  </si>
  <si>
    <t xml:space="preserve">⚠ write — stronger review</t>
  </si>
  <si>
    <t xml:space="preserve">Decided separately in the API Access ledger. Defining an interface grants nothing.</t>
  </si>
  <si>
    <t xml:space="preserve">Config changes are recorded, and every runtime call this interface serves is audited per call — solution, operation, status and which connection answered.</t>
  </si>
  <si>
    <t xml:space="preserve">Mapping</t>
  </si>
  <si>
    <t xml:space="preserve">· not in this version</t>
  </si>
  <si>
    <t xml:space="preserve">mappingVersion</t>
  </si>
  <si>
    <t xml:space="preserve">Mark ACTIVE</t>
  </si>
  <si>
    <t xml:space="preserve">Deprecate</t>
  </si>
  <si>
    <t xml:space="preserve">Save</t>
  </si>
  <si>
    <t xml:space="preserve">Saving empty clears it.</t>
  </si>
  <si>
    <t xml:space="preserve">A solution is the passport for something you are building: the business problem it solves, who is accountable for it, and which SAP capabilities it may consume. Nothing is governed until a solution exists.</t>
  </si>
  <si>
    <t xml:space="preserve">Each owner claims their own slot — you cannot assign someone else. Anyone can clear a slot that is no longer correct, which leaves the solution unowned until it is claimed again.</t>
  </si>
  <si>
    <t xml:space="preserve">Clearing an owner will move this solution to RESTRICTED.</t>
  </si>
  <si>
    <t xml:space="preserve">Name</t>
  </si>
  <si>
    <t xml:space="preserve">Classification</t>
  </si>
  <si>
    <t xml:space="preserve">Business problem</t>
  </si>
  <si>
    <t xml:space="preserve">Choose a classification…</t>
  </si>
  <si>
    <t xml:space="preserve">Repository URL</t>
  </si>
  <si>
    <t xml:space="preserve">(optional)</t>
  </si>
  <si>
    <t xml:space="preserve">Registers as</t>
  </si>
  <si>
    <t xml:space="preserve">. It records what you are building — it grants no access to anything. Access is requested and decided separately.</t>
  </si>
  <si>
    <t xml:space="preserve">void, ref: React.RefObject</t>
  </si>
  <si>
    <t xml:space="preserve">0 &amp;&amp; active ? (</t>
  </si>
  <si>
    <t xml:space="preserve">Rows</t>
  </si>
  <si>
    <t xml:space="preserve">Run as</t>
  </si>
  <si>
    <t xml:space="preserve">Nothing is read until you press Run. The run goes through the broker: the same grant check, the same environment binding, the same connection the deployed application would reach — and it is recorded in the northbound trail as a dry run. The tenant selected in the top bar applies to Discover, not to this run.</t>
  </si>
  <si>
    <t xml:space="preserve">draft interface</t>
  </si>
  <si>
    <t xml:space="preserve">Bound to</t>
  </si>
  <si>
    <t xml:space="preserve">This is an empty resource, not a failure. Your application should treat it as data.</t>
  </si>
  <si>
    <t xml:space="preserve">Replays run through the broker — the same grant, binding and connection a fresh Run uses — so a case that passed last month can be checked against today.</t>
  </si>
  <si>
    <t xml:space="preserve">Delete</t>
  </si>
  <si>
    <t xml:space="preserve">Generate a typed contract and a starter client for this interface. This is the hand-off point:</t>
  </si>
  <si>
    <t xml:space="preserve">, in whatever stack you use. There is no editor here, by design.</t>
  </si>
  <si>
    <t xml:space="preserve">Generate</t>
  </si>
  <si>
    <t xml:space="preserve">The OpenAPI document is the portable artifact — generate a client in any language from it with</t>
  </si>
  <si>
    <t xml:space="preserve">openapi-generator</t>
  </si>
  <si>
    <t xml:space="preserve">This solution has no live runtime credential, so Run will be refused before it reaches a tenant — the deployed application would be too. Issue one under API Access.</t>
  </si>
  <si>
    <t xml:space="preserve">Runs as</t>
  </si>
  <si>
    <t xml:space="preserve">→ will bind to</t>
  </si>
  <si>
    <t xml:space="preserve">Code</t>
  </si>
  <si>
    <t xml:space="preserve">Message shown to caller</t>
  </si>
  <si>
    <t xml:space="preserve">app/api/northbound/interfaces/route.ts</t>
  </si>
  <si>
    <t xml:space="preserve">RATE_LIMITED</t>
  </si>
  <si>
    <t xml:space="preserve">Too many requests. Slow down and retry.</t>
  </si>
  <si>
    <t xml:space="preserve">app/api/northbound/interfaces/[id]/schema/route.ts</t>
  </si>
  <si>
    <t xml:space="preserve">No such interface.</t>
  </si>
  <si>
    <t xml:space="preserve">app/api/northbound/interfaces/[id]/data/route.ts</t>
  </si>
  <si>
    <t xml:space="preserve">Too many requests for this client credential.</t>
  </si>
  <si>
    <t xml:space="preserve">app/api/northbound/interfaces/[id]/data/write/route.ts</t>
  </si>
  <si>
    <t xml:space="preserve">FORBIDDEN</t>
  </si>
  <si>
    <t xml:space="preserve">A valid write credential is required for this operation.</t>
  </si>
  <si>
    <t xml:space="preserve">VALIDATION_ERROR</t>
  </si>
  <si>
    <t xml:space="preserve">An Idempotency-Key header is required for writes (8-255 chars, [A-Za-z0-9_.:-]). Reuse the same key when retrying.</t>
  </si>
  <si>
    <t xml:space="preserve">Expected { record: object }.</t>
  </si>
  <si>
    <t xml:space="preserve">Writes are not enabled on this SAP connection.</t>
  </si>
  <si>
    <t xml:space="preserve">app/api/studio/access-grants/route.ts</t>
  </si>
  <si>
    <t xml:space="preserve">UNAUTHENTICATED</t>
  </si>
  <si>
    <t xml:space="preserve">Sign in required.</t>
  </si>
  <si>
    <t xml:space="preserve">Developer Studio is role-gated.</t>
  </si>
  <si>
    <t xml:space="preserve">Your role can view the ledger but not act on it.</t>
  </si>
  <si>
    <t xml:space="preserve">No organization scope.</t>
  </si>
  <si>
    <t xml:space="preserve">Invalid access request.</t>
  </si>
  <si>
    <t xml:space="preserve">Solution not found.</t>
  </si>
  <si>
    <t xml:space="preserve">Invalid decision.</t>
  </si>
  <si>
    <t xml:space="preserve">Request not found.</t>
  </si>
  <si>
    <t xml:space="preserve">app/api/studio/solutions/route.ts</t>
  </si>
  <si>
    <t xml:space="preserve">Your role can view solutions but not author them.</t>
  </si>
  <si>
    <t xml:space="preserve">Invalid solution payload.</t>
  </si>
  <si>
    <t xml:space="preserve">That name has no usable slug.</t>
  </si>
  <si>
    <t xml:space="preserve">app/api/studio/test-cases/route.ts</t>
  </si>
  <si>
    <t xml:space="preserve">Your role can view test cases but not save them.</t>
  </si>
  <si>
    <t xml:space="preserve">Invalid test case payload.</t>
  </si>
  <si>
    <t xml:space="preserve">Interface not found.</t>
  </si>
  <si>
    <t xml:space="preserve">Your role can view test cases but not delete them.</t>
  </si>
  <si>
    <t xml:space="preserve">Invalid request.</t>
  </si>
  <si>
    <t xml:space="preserve">Test case not found.</t>
  </si>
  <si>
    <t xml:space="preserve">app/api/studio/test/broker-run/route.ts</t>
  </si>
  <si>
    <t xml:space="preserve">Invalid run request.</t>
  </si>
  <si>
    <t xml:space="preserve">This solution holds live credentials for ${liveClients.map((c) =&gt; c.environment).join(</t>
  </si>
  <si>
    <t xml:space="preserve">app/api/studio/interfaces/route.ts</t>
  </si>
  <si>
    <t xml:space="preserve">Your role can view Studio but not author interfaces.</t>
  </si>
  <si>
    <t xml:space="preserve">Invalid interface payload.</t>
  </si>
  <si>
    <t xml:space="preserve">Your role can view interfaces but not author them.</t>
  </si>
  <si>
    <t xml:space="preserve">An interface cannot be activated without an entity set — the broker refuses every call on one. Set the entity set first.</t>
  </si>
  <si>
    <t xml:space="preserve">Unknown SAP product</t>
  </si>
  <si>
    <t xml:space="preserve">app/api/studio/interfaces/[id]/capture-fixture/route.ts</t>
  </si>
  <si>
    <t xml:space="preserve">Your role can view interfaces but not capture fixtures.</t>
  </si>
  <si>
    <t xml:space="preserve">Invalid fixture payload.</t>
  </si>
  <si>
    <t xml:space="preserve">That outcome is not a recordable scenario.</t>
  </si>
  <si>
    <t xml:space="preserve">app/api/studio/interfaces/[id]/capture-schema/route.ts</t>
  </si>
  <si>
    <t xml:space="preserve">Your role can view interfaces but not capture their schema.</t>
  </si>
  <si>
    <t xml:space="preserve">Expected a non-empty array of rows.</t>
  </si>
  <si>
    <t xml:space="preserve">Those rows contained no describable fields.</t>
  </si>
  <si>
    <t xml:space="preserve">app/api/studio/connections/route.ts</t>
  </si>
  <si>
    <t xml:space="preserve">Your role can view connections but not change them.</t>
  </si>
  <si>
    <t xml:space="preserve">key: has no usable value once normalized.</t>
  </si>
  <si>
    <t xml:space="preserve">INTERNAL</t>
  </si>
  <si>
    <t xml:space="preserve">The connection could not be sealed and was not saved. This is a deployment </t>
  </si>
  <si>
    <t xml:space="preserve">Nothing to change.</t>
  </si>
  <si>
    <t xml:space="preserve">Connection not found.</t>
  </si>
  <si>
    <t xml:space="preserve">Enabling writes requires the write secret. Re-save the connection with it instead.</t>
  </si>
  <si>
    <t xml:space="preserve">must be https</t>
  </si>
  <si>
    <t xml:space="preserve">must be a public hostname — IP literals, localhost and internal names are refused (the broker calls this URL with credentials attached)</t>
  </si>
  <si>
    <t xml:space="preserve">${v.product} is one tenant per host and has no SAP client</t>
  </si>
  <si>
    <t xml:space="preserve">client must be three digits, e.g. 100</t>
  </si>
  <si>
    <t xml:space="preserve">writeSecret is required when writes are enabled</t>
  </si>
  <si>
    <t xml:space="preserve">app/api/studio/connections/[id]/test/route.ts</t>
  </si>
  <si>
    <t xml:space="preserve">Your role can view connections but not test them.</t>
  </si>
  <si>
    <t xml:space="preserve">app/api/studio/clients/route.ts</t>
  </si>
  <si>
    <t xml:space="preserve">Your role can view credentials but not issue them.</t>
  </si>
  <si>
    <t xml:space="preserve">Invalid credential request.</t>
  </si>
  <si>
    <t xml:space="preserve">This solution has no ${missing.join(</t>
  </si>
  <si>
    <t xml:space="preserve">You own this solution, so you cannot issue its runtime credential. Ask a colleague to issue it.</t>
  </si>
  <si>
    <t xml:space="preserve">Credential not found.</t>
  </si>
  <si>
    <t xml:space="preserve">This solution has no ${missingForRotate.join(</t>
  </si>
  <si>
    <t xml:space="preserve">You own this solution, so you cannot rotate its runtime credential. Ask a colleague to rotate it.</t>
  </si>
  <si>
    <t xml:space="preserve">sapClient must be exactly three digits, e.g. 100</t>
  </si>
  <si>
    <t xml:space="preserve">app/api/studio/clients/write-credential/route.ts</t>
  </si>
  <si>
    <t xml:space="preserve">You own this solution, so you cannot issue its write key. Ask a colleague to issue it.</t>
  </si>
  <si>
    <t xml:space="preserve">This solution has no active runtime credential. Issue the bearer credential first — the write key is sealed onto it.</t>
  </si>
  <si>
    <t xml:space="preserve">No live write grant covers ${environment} for this solution. A write key is minted only </t>
  </si>
  <si>
    <t xml:space="preserve">lib/sap-public/connection-resolver.ts</t>
  </si>
  <si>
    <t xml:space="preserve">No SAP connection is configured for this organization and product.</t>
  </si>
  <si>
    <t xml:space="preserve">No SAP connection is configured for the ${environment} environment. This credential is bound to ${environment} and will not fall back to another landscape.</t>
  </si>
  <si>
    <t xml:space="preserve">A SAP connection is configured for the ${environment} environment, but none of them addresses the SAP client this credential is bound to. A client is a separate data container inside the same system, so this will not fall back to another one. Add the connection for that client in Studio, or re-issue this credential against a client that exists.</t>
  </si>
  <si>
    <t xml:space="preserve">More than one SAP connection could serve the ${environment} environment, so none was chosen. Declare a distinct environment on each connection in Studio — or, where one system hosts several SAP clients, set the client on each connection and on this credential so the pair identifies exactly one.</t>
  </si>
  <si>
    <t xml:space="preserve">No SAP connection declares the ${environment} environment, and more than one connection has not declared its environment at all — so none can be assumed to be it. Set the environment on each undeclared connection in Studio; this credential will not guess between them.</t>
  </si>
  <si>
    <t xml:space="preserve">This organization's SAP connection has not declared which environment it is, so a write cannot be authorised against it. Set the environment on the connection in Studio.</t>
  </si>
  <si>
    <t xml:space="preserve">A stored SAP connection for this organization could not be read (its credentials failed to open or its auth type is unrecognised). Re-save the connection's secrets in Studio, or deactivate the broken row.</t>
  </si>
  <si>
    <t xml:space="preserve">This interface names an SAP product the platform does not recognise, so no connection can ever serve it. Fix the interface's product in Studio — adding a connection will not help.</t>
  </si>
  <si>
    <t xml:space="preserve">Bearer ${s.bearerToken}</t>
  </si>
  <si>
    <t xml:space="preserve">Bearer ${await fetchSamlBearerToken(conn)}</t>
  </si>
  <si>
    <t xml:space="preserve">Bearer ${await fetchOAuthTokenFromConnection(conn)}</t>
  </si>
  <si>
    <t xml:space="preserve">lib/northbound/access.ts</t>
  </si>
  <si>
    <t xml:space="preserve">This interface is configured for reads. Writing through it is not permitted.</t>
  </si>
  <si>
    <t xml:space="preserve">This interface is ${iface.status}. Only an ACTIVE interface may write.</t>
  </si>
  <si>
    <t xml:space="preserve">No approved WRITE grant for this capability in ${environment}.</t>
  </si>
  <si>
    <t xml:space="preserve">The WRITE grant for this capability in ${environment} has been revoked.</t>
  </si>
  <si>
    <t xml:space="preserve">The WRITE grant for this capability in ${environment} has expired.</t>
  </si>
  <si>
    <t xml:space="preserve">This interface is configured for writes, which this API does not serve.</t>
  </si>
  <si>
    <t xml:space="preserve">This interface has been deprecated. Ask the solution's builder for its replacement.</t>
  </si>
  <si>
    <t xml:space="preserve">No approved access grant for this capability in ${environment}.</t>
  </si>
  <si>
    <t xml:space="preserve">The access grant for this capability in ${environment} has been revoked.</t>
  </si>
  <si>
    <t xml:space="preserve">The access grant for this capability in ${environment} has expired.</t>
  </si>
  <si>
    <t xml:space="preserve">lib/studio/grants.ts</t>
  </si>
  <si>
    <t xml:space="preserve">This request has already been decided. Raise a new request instead.</t>
  </si>
  <si>
    <t xml:space="preserve">That decision cannot be set by hand.</t>
  </si>
  <si>
    <t xml:space="preserve">You cannot decide your own request. Someone else must review it.</t>
  </si>
  <si>
    <t xml:space="preserve">This request writes into the client's SAP system. Work through the write checklist before approving.</t>
  </si>
  <si>
    <t xml:space="preserve">Item</t>
  </si>
  <si>
    <t xml:space="preserve">Documented</t>
  </si>
  <si>
    <t xml:space="preserve">Actual in code</t>
  </si>
  <si>
    <t xml:space="preserve">docs/coreedge/CoreEdge-Design-Tokens.md vs src/app/globals.css :root</t>
  </si>
  <si>
    <t xml:space="preserve">same</t>
  </si>
  <si>
    <t xml:space="preserve">Dark theme</t>
  </si>
  <si>
    <t xml:space="preserve">n/a</t>
  </si>
  <si>
    <t xml:space="preserve">.dark defines 49 tokens; CoreEdge screens never switch theme</t>
  </si>
  <si>
    <t xml:space="preserve">Console is light-only</t>
  </si>
  <si>
    <t xml:space="preserve">Three style systems</t>
  </si>
  <si>
    <t xml:space="preserve">globals :root tokens · .aptus-app tokens (38) · shadcn/ui kit (28 components, 1 used by CoreEdge)</t>
  </si>
  <si>
    <t xml:space="preserve">Pick one for CoreEdge</t>
  </si>
  <si>
    <t xml:space="preserve">Shadow tokens unused</t>
  </si>
  <si>
    <t xml:space="preserve">--shadow-card-warm(-hover)</t>
  </si>
  <si>
    <t xml:space="preserve">inline 0 1px 2px rgba(0,0,0,.04) etc.</t>
  </si>
  <si>
    <t xml:space="preserve">Tokens exist but inline values used</t>
  </si>
  <si>
    <t xml:space="preserve">Radius tokens partly used</t>
  </si>
  <si>
    <t xml:space="preserve">--radius-input/card-warm/pill</t>
  </si>
  <si>
    <t xml:space="preserve">39 uses via var(); 50 raw numbers</t>
  </si>
  <si>
    <t xml:space="preserve">Mixed</t>
  </si>
  <si>
    <t xml:space="preserve">Type scale</t>
  </si>
  <si>
    <t xml:space="preserve">8 roles in docs</t>
  </si>
  <si>
    <t xml:space="preserve">17 distinct font sizes, 18 line heights, 12 letter-spacings in code</t>
  </si>
  <si>
    <t xml:space="preserve">Needs tokens</t>
  </si>
  <si>
    <t xml:space="preserve">Responsive</t>
  </si>
  <si>
    <t xml:space="preserve">studio-responsive.css only (2 breakpoints); Ops and Control Tower have none</t>
  </si>
  <si>
    <t xml:space="preserve">Gap</t>
  </si>
  <si>
    <t xml:space="preserve">The scenario set to design in Claude Design before any code change. Grounded in the states the code already emits (see Status vocabulary).</t>
  </si>
  <si>
    <t xml:space="preserve">ID</t>
  </si>
  <si>
    <t xml:space="preserve">Role</t>
  </si>
  <si>
    <t xml:space="preserve">Journey</t>
  </si>
  <si>
    <t xml:space="preserve">Scenario</t>
  </si>
  <si>
    <t xml:space="preserve">Screen (Lanes IA)</t>
  </si>
  <si>
    <t xml:space="preserve">Design must show</t>
  </si>
  <si>
    <t xml:space="preserve">S01</t>
  </si>
  <si>
    <t xml:space="preserve">Builder</t>
  </si>
  <si>
    <t xml:space="preserve">Start</t>
  </si>
  <si>
    <t xml:space="preserve">First visit, empty org: no apps, no SAP systems</t>
  </si>
  <si>
    <t xml:space="preserve">Empty state that says what to do first and who can connect SAP</t>
  </si>
  <si>
    <t xml:space="preserve">S02</t>
  </si>
  <si>
    <t xml:space="preserve">Create app</t>
  </si>
  <si>
    <t xml:space="preserve">Create app with three owners; name already exists</t>
  </si>
  <si>
    <t xml:space="preserve">Uniqueness warning with slug; owners picker shows names</t>
  </si>
  <si>
    <t xml:space="preserve">S03</t>
  </si>
  <si>
    <t xml:space="preserve">Add feed</t>
  </si>
  <si>
    <t xml:space="preserve">Search catalogue for "purchase orders", add feed, pick 12 of 71 fields from $metadata</t>
  </si>
  <si>
    <t xml:space="preserve">Catalogue → App</t>
  </si>
  <si>
    <t xml:space="preserve">Field picker; SAP names in details; badge shows age of proof</t>
  </si>
  <si>
    <t xml:space="preserve">S04</t>
  </si>
  <si>
    <t xml:space="preserve">Sandbox lane</t>
  </si>
  <si>
    <t xml:space="preserve">Feed gets an instant Sandbox lane against the API Hub sandbox</t>
  </si>
  <si>
    <t xml:space="preserve">App lane board</t>
  </si>
  <si>
    <t xml:space="preserve">A·S·K·T all green in Sandbox within minutes</t>
  </si>
  <si>
    <t xml:space="preserve">S05</t>
  </si>
  <si>
    <t xml:space="preserve">Collect key</t>
  </si>
  <si>
    <t xml:space="preserve">Key ready; collect via CLI or claim link; never shown to issuer</t>
  </si>
  <si>
    <t xml:space="preserve">Needs you / Lane</t>
  </si>
  <si>
    <t xml:space="preserve">Masked key, fingerprint, "stored it" confirmation</t>
  </si>
  <si>
    <t xml:space="preserve">S06</t>
  </si>
  <si>
    <t xml:space="preserve">Try it</t>
  </si>
  <si>
    <t xml:space="preserve">Run a read in Sandbox and Test; result OK with rows</t>
  </si>
  <si>
    <t xml:space="preserve">Lane › Try it</t>
  </si>
  <si>
    <t xml:space="preserve">Binding shown before run; rows; correlation ID</t>
  </si>
  <si>
    <t xml:space="preserve">S07</t>
  </si>
  <si>
    <t xml:space="preserve">Read returns EMPTY (DEV X5M/080 has no POs)</t>
  </si>
  <si>
    <t xml:space="preserve">Empty is success; "no records" not error</t>
  </si>
  <si>
    <t xml:space="preserve">S08</t>
  </si>
  <si>
    <t xml:space="preserve">Promote</t>
  </si>
  <si>
    <t xml:space="preserve">Promote Purchase orders Sandbox → Dev → Test</t>
  </si>
  <si>
    <t xml:space="preserve">Promote opens a pre-filled request with expiry</t>
  </si>
  <si>
    <t xml:space="preserve">S09</t>
  </si>
  <si>
    <t xml:space="preserve">Promote to Prod when no Prod SAP system exists</t>
  </si>
  <si>
    <t xml:space="preserve">Request review</t>
  </si>
  <si>
    <t xml:space="preserve">Blocked check names the missing system and who is asked</t>
  </si>
  <si>
    <t xml:space="preserve">S10</t>
  </si>
  <si>
    <t xml:space="preserve">Download SDK</t>
  </si>
  <si>
    <t xml:space="preserve">Download typed client + OpenAPI + mock for a lane</t>
  </si>
  <si>
    <t xml:space="preserve">Lane</t>
  </si>
  <si>
    <t xml:space="preserve">Kit reflects captured contract; fixture masked</t>
  </si>
  <si>
    <t xml:space="preserve">S11</t>
  </si>
  <si>
    <t xml:space="preserve">Failure</t>
  </si>
  <si>
    <t xml:space="preserve">First call returns 403 from SAP (Bank details)</t>
  </si>
  <si>
    <t xml:space="preserve">Lane › Why?</t>
  </si>
  <si>
    <t xml:space="preserve">Trace stops at SAP data read; owner = client SAP admin</t>
  </si>
  <si>
    <t xml:space="preserve">S12</t>
  </si>
  <si>
    <t xml:space="preserve">Call refused: no access for this environment</t>
  </si>
  <si>
    <t xml:space="preserve">Broken hop = Access; one-click request</t>
  </si>
  <si>
    <t xml:space="preserve">S13</t>
  </si>
  <si>
    <t xml:space="preserve">Key expired / revoked / app retired</t>
  </si>
  <si>
    <t xml:space="preserve">Broken hop = Key; renew / contact reviewer</t>
  </si>
  <si>
    <t xml:space="preserve">S14</t>
  </si>
  <si>
    <t xml:space="preserve">Rate limited (429)</t>
  </si>
  <si>
    <t xml:space="preserve">Lane › traffic</t>
  </si>
  <si>
    <t xml:space="preserve">Retry-after shown; usage vs limit</t>
  </si>
  <si>
    <t xml:space="preserve">S15</t>
  </si>
  <si>
    <t xml:space="preserve">Change</t>
  </si>
  <si>
    <t xml:space="preserve">Change fields or dataset on an approved lane</t>
  </si>
  <si>
    <t xml:space="preserve">App</t>
  </si>
  <si>
    <t xml:space="preserve">Change re-opens review; old version keeps serving until approved</t>
  </si>
  <si>
    <t xml:space="preserve">S16</t>
  </si>
  <si>
    <t xml:space="preserve">Two environments</t>
  </si>
  <si>
    <t xml:space="preserve">App has DEV and TEST keys; replay a saved test</t>
  </si>
  <si>
    <t xml:space="preserve">Environment is explicit; no ambiguity refusal</t>
  </si>
  <si>
    <t xml:space="preserve">R01</t>
  </si>
  <si>
    <t xml:space="preserve">Reviewer</t>
  </si>
  <si>
    <t xml:space="preserve">Request with all checks green</t>
  </si>
  <si>
    <t xml:space="preserve">Requests</t>
  </si>
  <si>
    <t xml:space="preserve">Approve in one click; confirmation summary</t>
  </si>
  <si>
    <t xml:space="preserve">R02</t>
  </si>
  <si>
    <t xml:space="preserve">Request with a failing check (no Prod system)</t>
  </si>
  <si>
    <t xml:space="preserve">Approve disabled with reason; request changes</t>
  </si>
  <si>
    <t xml:space="preserve">R03</t>
  </si>
  <si>
    <t xml:space="preserve">Own request (SoD)</t>
  </si>
  <si>
    <t xml:space="preserve">Plain explanation; route to a colleague</t>
  </si>
  <si>
    <t xml:space="preserve">R04</t>
  </si>
  <si>
    <t xml:space="preserve">Write access request with checklist</t>
  </si>
  <si>
    <t xml:space="preserve">Checklist inline; approval records acknowledgement</t>
  </si>
  <si>
    <t xml:space="preserve">R05</t>
  </si>
  <si>
    <t xml:space="preserve">Reject with reason</t>
  </si>
  <si>
    <t xml:space="preserve">Reason required; requester notified</t>
  </si>
  <si>
    <t xml:space="preserve">R06</t>
  </si>
  <si>
    <t xml:space="preserve">Queue</t>
  </si>
  <si>
    <t xml:space="preserve">Requests waiting &gt; 4 h, several reviewers</t>
  </si>
  <si>
    <t xml:space="preserve">Needs you</t>
  </si>
  <si>
    <t xml:space="preserve">Ageing, assignment, no double-approval</t>
  </si>
  <si>
    <t xml:space="preserve">R07</t>
  </si>
  <si>
    <t xml:space="preserve">Renew</t>
  </si>
  <si>
    <t xml:space="preserve">Access expiring in 12 days</t>
  </si>
  <si>
    <t xml:space="preserve">Renew keeps key and contract</t>
  </si>
  <si>
    <t xml:space="preserve">O01</t>
  </si>
  <si>
    <t xml:space="preserve">Operator</t>
  </si>
  <si>
    <t xml:space="preserve">Board</t>
  </si>
  <si>
    <t xml:space="preserve">Morning check: 11 lanes, 3 need attention</t>
  </si>
  <si>
    <t xml:space="preserve">Operations board</t>
  </si>
  <si>
    <t xml:space="preserve">Sorted by attention; age of every check</t>
  </si>
  <si>
    <t xml:space="preserve">O02</t>
  </si>
  <si>
    <t xml:space="preserve">Triage</t>
  </si>
  <si>
    <t xml:space="preserve">SAP 403 on Bank details (metadata 200)</t>
  </si>
  <si>
    <t xml:space="preserve">Lane › Why? + timeline</t>
  </si>
  <si>
    <t xml:space="preserve">Send-to-SAP-admin note drafted; builder sees status</t>
  </si>
  <si>
    <t xml:space="preserve">O03</t>
  </si>
  <si>
    <t xml:space="preserve">SAP 401 — comm user password wrong</t>
  </si>
  <si>
    <t xml:space="preserve">Distinct from 403; owner = platform admin</t>
  </si>
  <si>
    <t xml:space="preserve">O04</t>
  </si>
  <si>
    <t xml:space="preserve">SAP timeout / 5xx spike</t>
  </si>
  <si>
    <t xml:space="preserve">Board › traffic</t>
  </si>
  <si>
    <t xml:space="preserve">Latency, error rate, circuit state</t>
  </si>
  <si>
    <t xml:space="preserve">O05</t>
  </si>
  <si>
    <t xml:space="preserve">Binding refused: two systems claim TEST (AMBIGUOUS)</t>
  </si>
  <si>
    <t xml:space="preserve">Names both systems; fix = declare environment/client</t>
  </si>
  <si>
    <t xml:space="preserve">O06</t>
  </si>
  <si>
    <t xml:space="preserve">Stored secret unreadable</t>
  </si>
  <si>
    <t xml:space="preserve">Re-save secret; lanes affected listed</t>
  </si>
  <si>
    <t xml:space="preserve">O07</t>
  </si>
  <si>
    <t xml:space="preserve">Hygiene</t>
  </si>
  <si>
    <t xml:space="preserve">Stale checks (&gt; TTL)</t>
  </si>
  <si>
    <t xml:space="preserve">Fade to Unknown; re-check all</t>
  </si>
  <si>
    <t xml:space="preserve">O08</t>
  </si>
  <si>
    <t xml:space="preserve">Keys</t>
  </si>
  <si>
    <t xml:space="preserve">Key never used / not used in 30 days</t>
  </si>
  <si>
    <t xml:space="preserve">Suggest revoke; owner notified</t>
  </si>
  <si>
    <t xml:space="preserve">O09</t>
  </si>
  <si>
    <t xml:space="preserve">Audit</t>
  </si>
  <si>
    <t xml:space="preserve">Find a call by correlation ID</t>
  </si>
  <si>
    <t xml:space="preserve">Operations</t>
  </si>
  <si>
    <t xml:space="preserve">Search returns the lane, hop and outcome</t>
  </si>
  <si>
    <t xml:space="preserve">A01</t>
  </si>
  <si>
    <t xml:space="preserve">Platform admin</t>
  </si>
  <si>
    <t xml:space="preserve">Connect SAP</t>
  </si>
  <si>
    <t xml:space="preserve">Add SAP system (basic / OAuth / API key) for an environment</t>
  </si>
  <si>
    <t xml:space="preserve">Environment required; host allowlist; test on save</t>
  </si>
  <si>
    <t xml:space="preserve">A02</t>
  </si>
  <si>
    <t xml:space="preserve">Probe shows metadata OK but data read 403 for one service</t>
  </si>
  <si>
    <t xml:space="preserve">Per-service matrix, not one "Reachable"</t>
  </si>
  <si>
    <t xml:space="preserve">A03</t>
  </si>
  <si>
    <t xml:space="preserve">Deactivate a SAP system used by 4 lanes</t>
  </si>
  <si>
    <t xml:space="preserve">Impact list; confirm; lanes go amber</t>
  </si>
  <si>
    <t xml:space="preserve">A04</t>
  </si>
  <si>
    <t xml:space="preserve">Rotate comm-user secret</t>
  </si>
  <si>
    <t xml:space="preserve">No downtime; probe after save</t>
  </si>
  <si>
    <t xml:space="preserve">A05</t>
  </si>
  <si>
    <t xml:space="preserve">Revoke a leaked key immediately</t>
  </si>
  <si>
    <t xml:space="preserve">Terminal; audit reason; owner told</t>
  </si>
  <si>
    <t xml:space="preserve">A06</t>
  </si>
  <si>
    <t xml:space="preserve">Retire</t>
  </si>
  <si>
    <t xml:space="preserve">Retire an app (e.g., empty twin)</t>
  </si>
  <si>
    <t xml:space="preserve">Keys stop; Try it refuses too</t>
  </si>
  <si>
    <t xml:space="preserve">X01</t>
  </si>
  <si>
    <t xml:space="preserve">Any</t>
  </si>
  <si>
    <t xml:space="preserve">Admin opens Studio without write rights</t>
  </si>
  <si>
    <t xml:space="preserve">Controls visible but disabled with reason</t>
  </si>
  <si>
    <t xml:space="preserve">X02</t>
  </si>
  <si>
    <t xml:space="preserve">Mobile</t>
  </si>
  <si>
    <t xml:space="preserve">Reviewer approves from phone (375 px)</t>
  </si>
  <si>
    <t xml:space="preserve">Card layout; actions visible</t>
  </si>
  <si>
    <t xml:space="preserve">X03</t>
  </si>
  <si>
    <t xml:space="preserve">Search</t>
  </si>
  <si>
    <t xml:space="preserve">Ask "why is purchase orders failing in Test?"</t>
  </si>
  <si>
    <t xml:space="preserve">Command bar</t>
  </si>
  <si>
    <t xml:space="preserve">Answer links to the trace</t>
  </si>
  <si>
    <t xml:space="preserve">X04</t>
  </si>
  <si>
    <t xml:space="preserve">Accessibility</t>
  </si>
  <si>
    <t xml:space="preserve">Keyboard-only through review and Try it</t>
  </si>
  <si>
    <t xml:space="preserve">All</t>
  </si>
  <si>
    <t xml:space="preserve">Focus order, visible focus, row keyboard access</t>
  </si>
  <si>
    <t xml:space="preserve">X05</t>
  </si>
  <si>
    <t xml:space="preserve">Time zone</t>
  </si>
  <si>
    <t xml:space="preserve">Consultant in MYT sets expiry "10 Dec"</t>
  </si>
  <si>
    <t xml:space="preserve">Ends 23:59 MYT; shown with zone</t>
  </si>
  <si>
    <t xml:space="preserve">X06</t>
  </si>
  <si>
    <t xml:space="preserve">Client IT (explore)</t>
  </si>
  <si>
    <t xml:space="preserve">Passport</t>
  </si>
  <si>
    <t xml:space="preserve">Client CIO views what data leaves SAP</t>
  </si>
  <si>
    <t xml:space="preserve">Passport (read-only)</t>
  </si>
  <si>
    <t xml:space="preserve">Apps, feeds, fields, approvals, expiry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</si>
</sst>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6"/>
      <color rgb="FF002B5C"/>
      <name val="Arial"/>
      <family val="0"/>
      <charset val="1"/>
    </font>
    <font>
      <i val="true"/>
      <sz val="9"/>
      <color rgb="FF555555"/>
      <name val="Arial"/>
      <family val="0"/>
      <charset val="1"/>
    </font>
    <font>
      <b val="true"/>
      <sz val="11"/>
      <color rgb="FFFFFFFF"/>
      <name val="Arial"/>
      <family val="0"/>
      <charset val="1"/>
    </font>
    <font>
      <sz val="10"/>
      <name val="Arial"/>
      <family val="0"/>
      <charset val="1"/>
    </font>
    <font>
      <b val="true"/>
      <sz val="12"/>
      <color rgb="FF002B5C"/>
      <name val="Arial"/>
      <family val="0"/>
      <charset val="1"/>
    </font>
    <font>
      <b val="true"/>
      <sz val="10"/>
      <color rgb="FFFFFFFF"/>
      <name val="Arial"/>
      <family val="0"/>
      <charset val="1"/>
    </font>
  </fonts>
  <fills count="3">
    <fill>
      <patternFill patternType="none"/>
    </fill>
    <fill>
      <patternFill patternType="gray125"/>
    </fill>
    <fill>
      <patternFill patternType="solid">
        <fgColor rgb="FF002B5C"/>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2B5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2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APImessages" displayName="APImessages" ref="A1:C86" headerRowCount="1" totalsRowCount="0" totalsRowShown="0">
  <autoFilter ref="A1:C86"/>
  <tableColumns count="3">
    <tableColumn id="1" name="File"/>
    <tableColumn id="2" name="Code"/>
    <tableColumn id="3" name="Message shown to caller"/>
  </tableColumns>
</table>
</file>

<file path=xl/tables/table2.xml><?xml version="1.0" encoding="utf-8"?>
<table xmlns="http://schemas.openxmlformats.org/spreadsheetml/2006/main" id="2" name="Components" displayName="Components" ref="A1:L77" headerRowCount="1" totalsRowCount="0" totalsRowShown="0">
  <autoFilter ref="A1:L77"/>
  <tableColumns count="12">
    <tableColumn id="1" name="File"/>
    <tableColumn id="2" name="Exports"/>
    <tableColumn id="3" name="Lines"/>
    <tableColumn id="4" name="Inline style blocks"/>
    <tableColumn id="5" name="Local style constants"/>
    <tableColumn id="6" name="Style literals"/>
    <tableColumn id="7" name="px/rem literals"/>
    <tableColumn id="8" name="var() token refs"/>
    <tableColumn id="9" name="Raw colours"/>
    <tableColumn id="10" name="Tailwind token classes"/>
    <tableColumn id="11" name="Tailwind palette/arbitrary"/>
    <tableColumn id="12" name="Shared UI kit used"/>
  </tableColumns>
</table>
</file>

<file path=xl/tables/table3.xml><?xml version="1.0" encoding="utf-8"?>
<table xmlns="http://schemas.openxmlformats.org/spreadsheetml/2006/main" id="3" name="Driftsystemgaps" displayName="Driftsystemgaps" ref="A1:D10" headerRowCount="1" totalsRowCount="0" totalsRowShown="0">
  <autoFilter ref="A1:D10"/>
  <tableColumns count="4">
    <tableColumn id="1" name="Item"/>
    <tableColumn id="2" name="Documented"/>
    <tableColumn id="3" name="Actual in code"/>
    <tableColumn id="4" name="Note"/>
  </tableColumns>
</table>
</file>

<file path=xl/tables/table4.xml><?xml version="1.0" encoding="utf-8"?>
<table xmlns="http://schemas.openxmlformats.org/spreadsheetml/2006/main" id="4" name="Localstylesystems" displayName="Localstylesystems" ref="A3:C79" headerRowCount="1" totalsRowCount="0" totalsRowShown="0">
  <autoFilter ref="A3:C79"/>
  <tableColumns count="3">
    <tableColumn id="1" name="File"/>
    <tableColumn id="2" name="Style constant"/>
    <tableColumn id="3" name="Files defining same name"/>
  </tableColumns>
</table>
</file>

<file path=xl/tables/table5.xml><?xml version="1.0" encoding="utf-8"?>
<table xmlns="http://schemas.openxmlformats.org/spreadsheetml/2006/main" id="5" name="Rawcoloursclasses" displayName="Rawcoloursclasses" ref="A1:D103" headerRowCount="1" totalsRowCount="0" totalsRowShown="0">
  <autoFilter ref="A1:D103"/>
  <tableColumns count="4">
    <tableColumn id="1" name="File"/>
    <tableColumn id="2" name="Kind"/>
    <tableColumn id="3" name="Value"/>
    <tableColumn id="4" name="Existing token with same value"/>
  </tableColumns>
</table>
</file>

<file path=xl/tables/table6.xml><?xml version="1.0" encoding="utf-8"?>
<table xmlns="http://schemas.openxmlformats.org/spreadsheetml/2006/main" id="6" name="Scenarios" displayName="Scenarios" ref="A3:F47" headerRowCount="1" totalsRowCount="0" totalsRowShown="0">
  <autoFilter ref="A3:F47"/>
  <tableColumns count="6">
    <tableColumn id="1" name="ID"/>
    <tableColumn id="2" name="Role"/>
    <tableColumn id="3" name="Journey"/>
    <tableColumn id="4" name="Scenario"/>
    <tableColumn id="5" name="Screen (Lanes IA)"/>
    <tableColumn id="6" name="Design must show"/>
  </tableColumns>
</table>
</file>

<file path=xl/tables/table7.xml><?xml version="1.0" encoding="utf-8"?>
<table xmlns="http://schemas.openxmlformats.org/spreadsheetml/2006/main" id="7" name="Screens" displayName="Screens" ref="A1:G27" headerRowCount="1" totalsRowCount="0" totalsRowShown="0">
  <autoFilter ref="A1:G27"/>
  <tableColumns count="7">
    <tableColumn id="1" name="Workspace"/>
    <tableColumn id="2" name="Route"/>
    <tableColumn id="3" name="Title"/>
    <tableColumn id="4" name="Main components"/>
    <tableColumn id="5" name="Who uses it"/>
    <tableColumn id="6" name="States the design must cover"/>
    <tableColumn id="7" name="Destination in Lanes IA"/>
  </tableColumns>
</table>
</file>

<file path=xl/tables/table8.xml><?xml version="1.0" encoding="utf-8"?>
<table xmlns="http://schemas.openxmlformats.org/spreadsheetml/2006/main" id="8" name="Statusvocabulary" displayName="Statusvocabulary" ref="A1:E56" headerRowCount="1" totalsRowCount="0" totalsRowShown="0">
  <autoFilter ref="A1:E56"/>
  <tableColumns count="5">
    <tableColumn id="1" name="Domain"/>
    <tableColumn id="2" name="Code(s)"/>
    <tableColumn id="3" name="Shown today as"/>
    <tableColumn id="4" name="Proposed plain label"/>
    <tableColumn id="5" name="Note"/>
  </tableColumns>
</table>
</file>

<file path=xl/tables/table9.xml><?xml version="1.0" encoding="utf-8"?>
<table xmlns="http://schemas.openxmlformats.org/spreadsheetml/2006/main" id="9" name="Tokenizationgaps" displayName="Tokenizationgaps" ref="A3:D173" headerRowCount="1" totalsRowCount="0" totalsRowShown="0">
  <autoFilter ref="A3:D173"/>
  <tableColumns count="4">
    <tableColumn id="1" name="CSS property"/>
    <tableColumn id="2" name="Literal value in code"/>
    <tableColumn id="3" name="Occurrences"/>
    <tableColumn id="4" name="Proposed token / nearest scale step"/>
  </tableColumns>
</table>
</file>

<file path=xl/tables/table10.xml><?xml version="1.0" encoding="utf-8"?>
<table xmlns="http://schemas.openxmlformats.org/spreadsheetml/2006/main" id="10" name="Tokensdefined" displayName="Tokensdefined" ref="A3:E327" headerRowCount="1" totalsRowCount="0" totalsRowShown="0">
  <autoFilter ref="A3:E327"/>
  <tableColumns count="5">
    <tableColumn id="1" name="File"/>
    <tableColumn id="2" name="Block (scope)"/>
    <tableColumn id="3" name="Token"/>
    <tableColumn id="4" name="Value"/>
    <tableColumn id="5" name="var() uses in CoreEdge UI"/>
  </tableColumns>
</table>
</file>

<file path=xl/tables/table11.xml><?xml version="1.0" encoding="utf-8"?>
<table xmlns="http://schemas.openxmlformats.org/spreadsheetml/2006/main" id="11" name="Tokensused" displayName="Tokensused" ref="A1:C44" headerRowCount="1" totalsRowCount="0" totalsRowShown="0">
  <autoFilter ref="A1:C44"/>
  <tableColumns count="3">
    <tableColumn id="1" name="Token"/>
    <tableColumn id="2" name="var() references in CoreEdge UI"/>
    <tableColumn id="3" name="Defined?"/>
  </tableColumns>
</table>
</file>

<file path=xl/tables/table12.xml><?xml version="1.0" encoding="utf-8"?>
<table xmlns="http://schemas.openxmlformats.org/spreadsheetml/2006/main" id="12" name="UIcopy" displayName="UIcopy" ref="A3:C343" headerRowCount="1" totalsRowCount="0" totalsRowShown="0">
  <autoFilter ref="A3:C343"/>
  <tableColumns count="3">
    <tableColumn id="1" name="File"/>
    <tableColumn id="2" name="Kind"/>
    <tableColumn id="3" name="Tex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7.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11.xml"/>
</Relationships>
</file>

<file path=xl/worksheets/_rels/sheet6.xml.rels><?xml version="1.0" encoding="UTF-8"?>
<Relationships xmlns="http://schemas.openxmlformats.org/package/2006/relationships"><Relationship Id="rId1"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table" Target="../tables/table12.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3.xml"/>
</Relationships>
</file>

<file path=xl/worksheets/_rels/sheet13.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4" min="3" style="0" width="3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f aca="false">COUNTA(Screens!B:B)-1</f>
        <v>26</v>
      </c>
    </row>
    <row r="6" customFormat="false" ht="15" hidden="false" customHeight="false" outlineLevel="0" collapsed="false">
      <c r="A6" s="4" t="s">
        <v>5</v>
      </c>
      <c r="B6" s="5" t="n">
        <f aca="false">COUNTA(Components!A:A)-1</f>
        <v>76</v>
      </c>
    </row>
    <row r="7" customFormat="false" ht="15" hidden="false" customHeight="false" outlineLevel="0" collapsed="false">
      <c r="A7" s="4" t="s">
        <v>6</v>
      </c>
      <c r="B7" s="5" t="n">
        <f aca="false">SUM(Components!C:C)</f>
        <v>16919</v>
      </c>
    </row>
    <row r="8" customFormat="false" ht="15" hidden="false" customHeight="false" outlineLevel="0" collapsed="false">
      <c r="A8" s="4" t="s">
        <v>7</v>
      </c>
      <c r="B8" s="5" t="n">
        <f aca="false">SUM(Components!D:D)</f>
        <v>752</v>
      </c>
    </row>
    <row r="9" customFormat="false" ht="15" hidden="false" customHeight="false" outlineLevel="0" collapsed="false">
      <c r="A9" s="4" t="s">
        <v>8</v>
      </c>
      <c r="B9" s="5" t="n">
        <f aca="false">SUM(Components!F:F)</f>
        <v>2160</v>
      </c>
    </row>
    <row r="10" customFormat="false" ht="15" hidden="false" customHeight="false" outlineLevel="0" collapsed="false">
      <c r="A10" s="4" t="s">
        <v>9</v>
      </c>
      <c r="B10" s="5" t="n">
        <f aca="false">SUM(Components!G:G)</f>
        <v>1486</v>
      </c>
    </row>
    <row r="11" customFormat="false" ht="15" hidden="false" customHeight="false" outlineLevel="0" collapsed="false">
      <c r="A11" s="4" t="s">
        <v>10</v>
      </c>
      <c r="B11" s="5" t="n">
        <f aca="false">COUNTA('Local style systems'!B:B)-1</f>
        <v>76</v>
      </c>
    </row>
    <row r="12" customFormat="false" ht="15" hidden="false" customHeight="false" outlineLevel="0" collapsed="false">
      <c r="A12" s="4" t="s">
        <v>11</v>
      </c>
      <c r="B12" s="5" t="n">
        <f aca="false">SUM(Components!H:H)</f>
        <v>906</v>
      </c>
    </row>
    <row r="13" customFormat="false" ht="15" hidden="false" customHeight="false" outlineLevel="0" collapsed="false">
      <c r="A13" s="4" t="s">
        <v>12</v>
      </c>
      <c r="B13" s="5" t="n">
        <f aca="false">SUM(Components!I:I)</f>
        <v>38</v>
      </c>
    </row>
    <row r="14" customFormat="false" ht="15" hidden="false" customHeight="false" outlineLevel="0" collapsed="false">
      <c r="A14" s="4" t="s">
        <v>13</v>
      </c>
      <c r="B14" s="5" t="n">
        <f aca="false">COUNTA('Tokens defined'!C:C)-1</f>
        <v>324</v>
      </c>
    </row>
    <row r="15" customFormat="false" ht="15" hidden="false" customHeight="false" outlineLevel="0" collapsed="false">
      <c r="A15" s="4" t="s">
        <v>14</v>
      </c>
      <c r="B15" s="5" t="n">
        <f aca="false">COUNTA('Tokens used'!A:A)-1</f>
        <v>43</v>
      </c>
    </row>
    <row r="16" customFormat="false" ht="15" hidden="false" customHeight="false" outlineLevel="0" collapsed="false">
      <c r="A16" s="4" t="s">
        <v>15</v>
      </c>
      <c r="B16" s="5" t="n">
        <f aca="false">COUNTIF('Tokenization gaps'!A:A,"fontSize")</f>
        <v>17</v>
      </c>
    </row>
    <row r="17" customFormat="false" ht="15" hidden="false" customHeight="false" outlineLevel="0" collapsed="false">
      <c r="A17" s="4" t="s">
        <v>16</v>
      </c>
      <c r="B17" s="5" t="n">
        <f aca="false">COUNTIF('Tokenization gaps'!A:A,"padding")</f>
        <v>57</v>
      </c>
    </row>
    <row r="18" customFormat="false" ht="15" hidden="false" customHeight="false" outlineLevel="0" collapsed="false">
      <c r="A18" s="4" t="s">
        <v>17</v>
      </c>
      <c r="B18" s="5" t="n">
        <f aca="false">COUNTIF('Tokenization gaps'!A:A,"gap")</f>
        <v>21</v>
      </c>
    </row>
    <row r="19" customFormat="false" ht="15" hidden="false" customHeight="false" outlineLevel="0" collapsed="false">
      <c r="A19" s="4" t="s">
        <v>18</v>
      </c>
      <c r="B19" s="5" t="n">
        <f aca="false">COUNTIF('Tokenization gaps'!A:A,"borderRadius")</f>
        <v>15</v>
      </c>
    </row>
    <row r="20" customFormat="false" ht="15" hidden="false" customHeight="false" outlineLevel="0" collapsed="false">
      <c r="A20" s="4" t="s">
        <v>19</v>
      </c>
      <c r="B20" s="5" t="n">
        <f aca="false">COUNTA('Status vocabulary'!B:B)-1</f>
        <v>55</v>
      </c>
    </row>
    <row r="21" customFormat="false" ht="15" hidden="false" customHeight="false" outlineLevel="0" collapsed="false">
      <c r="A21" s="4" t="s">
        <v>20</v>
      </c>
      <c r="B21" s="5" t="n">
        <f aca="false">COUNTA('UI copy'!C:C)-1</f>
        <v>340</v>
      </c>
    </row>
    <row r="22" customFormat="false" ht="15" hidden="false" customHeight="false" outlineLevel="0" collapsed="false">
      <c r="A22" s="4" t="s">
        <v>21</v>
      </c>
      <c r="B22" s="5" t="n">
        <f aca="false">COUNTA('API messages'!C:C)-1</f>
        <v>85</v>
      </c>
    </row>
    <row r="23" customFormat="false" ht="15" hidden="false" customHeight="false" outlineLevel="0" collapsed="false">
      <c r="A23" s="4" t="s">
        <v>22</v>
      </c>
      <c r="B23" s="5" t="n">
        <f aca="false">COUNTA(Scenarios!A:A)-2</f>
        <v>44</v>
      </c>
    </row>
    <row r="25" customFormat="false" ht="15" hidden="false" customHeight="false" outlineLevel="0" collapsed="false">
      <c r="A25" s="6" t="s">
        <v>23</v>
      </c>
    </row>
    <row r="26" customFormat="false" ht="30" hidden="false" customHeight="true" outlineLevel="0" collapsed="false">
      <c r="A26" s="7" t="s">
        <v>24</v>
      </c>
      <c r="B26" s="7"/>
      <c r="C26" s="7"/>
      <c r="D26" s="7"/>
    </row>
    <row r="27" customFormat="false" ht="30" hidden="false" customHeight="true" outlineLevel="0" collapsed="false">
      <c r="A27" s="7" t="s">
        <v>25</v>
      </c>
      <c r="B27" s="7"/>
      <c r="C27" s="7"/>
      <c r="D27" s="7"/>
    </row>
    <row r="28" customFormat="false" ht="30" hidden="false" customHeight="true" outlineLevel="0" collapsed="false">
      <c r="A28" s="7" t="s">
        <v>26</v>
      </c>
      <c r="B28" s="7"/>
      <c r="C28" s="7"/>
      <c r="D28" s="7"/>
    </row>
    <row r="29" customFormat="false" ht="30" hidden="false" customHeight="true" outlineLevel="0" collapsed="false">
      <c r="A29" s="7" t="s">
        <v>27</v>
      </c>
      <c r="B29" s="7"/>
      <c r="C29" s="7"/>
      <c r="D29" s="7"/>
    </row>
    <row r="30" customFormat="false" ht="30" hidden="false" customHeight="true" outlineLevel="0" collapsed="false">
      <c r="A30" s="7" t="s">
        <v>28</v>
      </c>
      <c r="B30" s="7"/>
      <c r="C30" s="7"/>
      <c r="D30" s="7"/>
    </row>
    <row r="31" customFormat="false" ht="30" hidden="false" customHeight="true" outlineLevel="0" collapsed="false">
      <c r="A31" s="7" t="s">
        <v>29</v>
      </c>
      <c r="B31" s="7"/>
      <c r="C31" s="7"/>
      <c r="D31" s="7"/>
    </row>
    <row r="32" customFormat="false" ht="30" hidden="false" customHeight="true" outlineLevel="0" collapsed="false">
      <c r="A32" s="7" t="s">
        <v>30</v>
      </c>
      <c r="B32" s="7"/>
      <c r="C32" s="7"/>
      <c r="D32" s="7"/>
    </row>
  </sheetData>
  <mergeCells count="7">
    <mergeCell ref="A26:D26"/>
    <mergeCell ref="A27:D27"/>
    <mergeCell ref="A28:D28"/>
    <mergeCell ref="A29:D29"/>
    <mergeCell ref="A30:D30"/>
    <mergeCell ref="A31:D3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22"/>
    <col collapsed="false" customWidth="true" hidden="false" outlineLevel="0" max="4" min="4" style="0" width="34"/>
    <col collapsed="false" customWidth="true" hidden="false" outlineLevel="0" max="5" min="5" style="0" width="30"/>
    <col collapsed="false" customWidth="true" hidden="false" outlineLevel="0" max="6" min="6" style="0" width="60"/>
    <col collapsed="false" customWidth="true" hidden="false" outlineLevel="0" max="7" min="7" style="0" width="30"/>
  </cols>
  <sheetData>
    <row r="1" customFormat="false" ht="15" hidden="false" customHeight="false" outlineLevel="0" collapsed="false">
      <c r="A1" s="8" t="s">
        <v>31</v>
      </c>
      <c r="B1" s="8" t="s">
        <v>32</v>
      </c>
      <c r="C1" s="8" t="s">
        <v>33</v>
      </c>
      <c r="D1" s="8" t="s">
        <v>34</v>
      </c>
      <c r="E1" s="8" t="s">
        <v>35</v>
      </c>
      <c r="F1" s="8" t="s">
        <v>36</v>
      </c>
      <c r="G1" s="8" t="s">
        <v>37</v>
      </c>
    </row>
    <row r="2" customFormat="false" ht="15" hidden="false" customHeight="false" outlineLevel="0" collapsed="false">
      <c r="A2" s="9" t="s">
        <v>38</v>
      </c>
      <c r="B2" s="9" t="s">
        <v>39</v>
      </c>
      <c r="C2" s="9" t="s">
        <v>40</v>
      </c>
      <c r="D2" s="9" t="s">
        <v>41</v>
      </c>
      <c r="E2" s="9" t="s">
        <v>42</v>
      </c>
      <c r="F2" s="9"/>
      <c r="G2" s="9" t="s">
        <v>43</v>
      </c>
    </row>
    <row r="3" customFormat="false" ht="23.85" hidden="false" customHeight="false" outlineLevel="0" collapsed="false">
      <c r="A3" s="9" t="s">
        <v>44</v>
      </c>
      <c r="B3" s="9" t="s">
        <v>45</v>
      </c>
      <c r="C3" s="9" t="s">
        <v>46</v>
      </c>
      <c r="D3" s="9" t="s">
        <v>47</v>
      </c>
      <c r="E3" s="9" t="s">
        <v>48</v>
      </c>
      <c r="F3" s="9"/>
      <c r="G3" s="9" t="s">
        <v>49</v>
      </c>
    </row>
    <row r="4" customFormat="false" ht="23.85" hidden="false" customHeight="false" outlineLevel="0" collapsed="false">
      <c r="A4" s="9" t="s">
        <v>44</v>
      </c>
      <c r="B4" s="9" t="s">
        <v>50</v>
      </c>
      <c r="C4" s="9" t="s">
        <v>51</v>
      </c>
      <c r="D4" s="9" t="s">
        <v>52</v>
      </c>
      <c r="E4" s="9" t="s">
        <v>48</v>
      </c>
      <c r="F4" s="9"/>
      <c r="G4" s="9" t="s">
        <v>53</v>
      </c>
    </row>
    <row r="5" customFormat="false" ht="23.85" hidden="false" customHeight="false" outlineLevel="0" collapsed="false">
      <c r="A5" s="9" t="s">
        <v>44</v>
      </c>
      <c r="B5" s="9" t="s">
        <v>54</v>
      </c>
      <c r="C5" s="9" t="s">
        <v>55</v>
      </c>
      <c r="D5" s="9" t="s">
        <v>56</v>
      </c>
      <c r="E5" s="9" t="s">
        <v>48</v>
      </c>
      <c r="F5" s="9"/>
      <c r="G5" s="9" t="s">
        <v>57</v>
      </c>
    </row>
    <row r="6" customFormat="false" ht="23.85" hidden="false" customHeight="false" outlineLevel="0" collapsed="false">
      <c r="A6" s="9" t="s">
        <v>44</v>
      </c>
      <c r="B6" s="9" t="s">
        <v>58</v>
      </c>
      <c r="C6" s="9" t="s">
        <v>59</v>
      </c>
      <c r="D6" s="9" t="s">
        <v>60</v>
      </c>
      <c r="E6" s="9" t="s">
        <v>48</v>
      </c>
      <c r="F6" s="9" t="s">
        <v>61</v>
      </c>
      <c r="G6" s="9" t="s">
        <v>62</v>
      </c>
    </row>
    <row r="7" customFormat="false" ht="23.85" hidden="false" customHeight="false" outlineLevel="0" collapsed="false">
      <c r="A7" s="9" t="s">
        <v>44</v>
      </c>
      <c r="B7" s="9" t="s">
        <v>63</v>
      </c>
      <c r="C7" s="9" t="s">
        <v>64</v>
      </c>
      <c r="D7" s="9" t="s">
        <v>65</v>
      </c>
      <c r="E7" s="9" t="s">
        <v>48</v>
      </c>
      <c r="F7" s="9"/>
      <c r="G7" s="9" t="s">
        <v>66</v>
      </c>
    </row>
    <row r="8" customFormat="false" ht="23.85" hidden="false" customHeight="false" outlineLevel="0" collapsed="false">
      <c r="A8" s="9" t="s">
        <v>44</v>
      </c>
      <c r="B8" s="9" t="s">
        <v>67</v>
      </c>
      <c r="C8" s="9" t="s">
        <v>68</v>
      </c>
      <c r="D8" s="9" t="s">
        <v>69</v>
      </c>
      <c r="E8" s="9" t="s">
        <v>48</v>
      </c>
      <c r="F8" s="9"/>
      <c r="G8" s="9" t="s">
        <v>70</v>
      </c>
    </row>
    <row r="9" customFormat="false" ht="23.85" hidden="false" customHeight="false" outlineLevel="0" collapsed="false">
      <c r="A9" s="9" t="s">
        <v>44</v>
      </c>
      <c r="B9" s="9" t="s">
        <v>71</v>
      </c>
      <c r="C9" s="9" t="s">
        <v>72</v>
      </c>
      <c r="D9" s="9" t="s">
        <v>73</v>
      </c>
      <c r="E9" s="9" t="s">
        <v>48</v>
      </c>
      <c r="F9" s="9"/>
      <c r="G9" s="9" t="s">
        <v>74</v>
      </c>
    </row>
    <row r="10" customFormat="false" ht="23.85" hidden="false" customHeight="false" outlineLevel="0" collapsed="false">
      <c r="A10" s="9" t="s">
        <v>75</v>
      </c>
      <c r="B10" s="9" t="s">
        <v>76</v>
      </c>
      <c r="C10" s="9" t="s">
        <v>46</v>
      </c>
      <c r="D10" s="9" t="s">
        <v>47</v>
      </c>
      <c r="E10" s="9" t="s">
        <v>77</v>
      </c>
      <c r="F10" s="9" t="s">
        <v>78</v>
      </c>
      <c r="G10" s="9" t="s">
        <v>79</v>
      </c>
    </row>
    <row r="11" customFormat="false" ht="35.05" hidden="false" customHeight="false" outlineLevel="0" collapsed="false">
      <c r="A11" s="9" t="s">
        <v>75</v>
      </c>
      <c r="B11" s="9" t="s">
        <v>80</v>
      </c>
      <c r="C11" s="9" t="s">
        <v>81</v>
      </c>
      <c r="D11" s="9" t="s">
        <v>82</v>
      </c>
      <c r="E11" s="9" t="s">
        <v>77</v>
      </c>
      <c r="F11" s="9" t="s">
        <v>83</v>
      </c>
      <c r="G11" s="9" t="s">
        <v>84</v>
      </c>
    </row>
    <row r="12" customFormat="false" ht="35.05" hidden="false" customHeight="false" outlineLevel="0" collapsed="false">
      <c r="A12" s="9" t="s">
        <v>75</v>
      </c>
      <c r="B12" s="9" t="s">
        <v>85</v>
      </c>
      <c r="C12" s="9" t="s">
        <v>86</v>
      </c>
      <c r="D12" s="9" t="s">
        <v>87</v>
      </c>
      <c r="E12" s="9" t="s">
        <v>77</v>
      </c>
      <c r="F12" s="9" t="s">
        <v>88</v>
      </c>
      <c r="G12" s="9" t="s">
        <v>57</v>
      </c>
    </row>
    <row r="13" customFormat="false" ht="46.25" hidden="false" customHeight="false" outlineLevel="0" collapsed="false">
      <c r="A13" s="9" t="s">
        <v>75</v>
      </c>
      <c r="B13" s="9" t="s">
        <v>89</v>
      </c>
      <c r="C13" s="9" t="s">
        <v>90</v>
      </c>
      <c r="D13" s="9" t="s">
        <v>91</v>
      </c>
      <c r="E13" s="9" t="s">
        <v>77</v>
      </c>
      <c r="F13" s="9" t="s">
        <v>92</v>
      </c>
      <c r="G13" s="9" t="s">
        <v>93</v>
      </c>
    </row>
    <row r="14" customFormat="false" ht="23.85" hidden="false" customHeight="false" outlineLevel="0" collapsed="false">
      <c r="A14" s="9" t="s">
        <v>75</v>
      </c>
      <c r="B14" s="9" t="s">
        <v>94</v>
      </c>
      <c r="C14" s="9" t="s">
        <v>95</v>
      </c>
      <c r="D14" s="9" t="s">
        <v>96</v>
      </c>
      <c r="E14" s="9" t="s">
        <v>77</v>
      </c>
      <c r="F14" s="9" t="s">
        <v>97</v>
      </c>
      <c r="G14" s="9" t="s">
        <v>98</v>
      </c>
    </row>
    <row r="15" customFormat="false" ht="23.85" hidden="false" customHeight="false" outlineLevel="0" collapsed="false">
      <c r="A15" s="9" t="s">
        <v>75</v>
      </c>
      <c r="B15" s="9" t="s">
        <v>99</v>
      </c>
      <c r="C15" s="9" t="s">
        <v>100</v>
      </c>
      <c r="D15" s="9" t="s">
        <v>101</v>
      </c>
      <c r="E15" s="9" t="s">
        <v>77</v>
      </c>
      <c r="F15" s="9" t="s">
        <v>102</v>
      </c>
      <c r="G15" s="9" t="s">
        <v>103</v>
      </c>
    </row>
    <row r="16" customFormat="false" ht="35.05" hidden="false" customHeight="false" outlineLevel="0" collapsed="false">
      <c r="A16" s="9" t="s">
        <v>75</v>
      </c>
      <c r="B16" s="9" t="s">
        <v>104</v>
      </c>
      <c r="C16" s="9" t="s">
        <v>105</v>
      </c>
      <c r="D16" s="9" t="s">
        <v>106</v>
      </c>
      <c r="E16" s="9" t="s">
        <v>77</v>
      </c>
      <c r="F16" s="9" t="s">
        <v>107</v>
      </c>
      <c r="G16" s="9" t="s">
        <v>108</v>
      </c>
    </row>
    <row r="17" customFormat="false" ht="15" hidden="false" customHeight="false" outlineLevel="0" collapsed="false">
      <c r="A17" s="9" t="s">
        <v>109</v>
      </c>
      <c r="B17" s="9" t="s">
        <v>110</v>
      </c>
      <c r="C17" s="9" t="s">
        <v>111</v>
      </c>
      <c r="D17" s="9"/>
      <c r="E17" s="9" t="s">
        <v>112</v>
      </c>
      <c r="F17" s="9"/>
      <c r="G17" s="9" t="s">
        <v>113</v>
      </c>
    </row>
    <row r="18" customFormat="false" ht="15" hidden="false" customHeight="false" outlineLevel="0" collapsed="false">
      <c r="A18" s="9" t="s">
        <v>109</v>
      </c>
      <c r="B18" s="9" t="s">
        <v>114</v>
      </c>
      <c r="C18" s="9"/>
      <c r="D18" s="9"/>
      <c r="E18" s="9" t="s">
        <v>112</v>
      </c>
      <c r="F18" s="9"/>
      <c r="G18" s="9" t="s">
        <v>113</v>
      </c>
    </row>
    <row r="19" customFormat="false" ht="15" hidden="false" customHeight="false" outlineLevel="0" collapsed="false">
      <c r="A19" s="9" t="s">
        <v>109</v>
      </c>
      <c r="B19" s="9" t="s">
        <v>115</v>
      </c>
      <c r="C19" s="9" t="s">
        <v>116</v>
      </c>
      <c r="D19" s="9"/>
      <c r="E19" s="9" t="s">
        <v>112</v>
      </c>
      <c r="F19" s="9"/>
      <c r="G19" s="9" t="s">
        <v>113</v>
      </c>
    </row>
    <row r="20" customFormat="false" ht="15" hidden="false" customHeight="false" outlineLevel="0" collapsed="false">
      <c r="A20" s="9" t="s">
        <v>117</v>
      </c>
      <c r="B20" s="9" t="s">
        <v>118</v>
      </c>
      <c r="C20" s="9" t="s">
        <v>46</v>
      </c>
      <c r="D20" s="9" t="s">
        <v>119</v>
      </c>
      <c r="E20" s="9" t="s">
        <v>120</v>
      </c>
      <c r="F20" s="9"/>
      <c r="G20" s="9" t="s">
        <v>121</v>
      </c>
    </row>
    <row r="21" customFormat="false" ht="15" hidden="false" customHeight="false" outlineLevel="0" collapsed="false">
      <c r="A21" s="9" t="s">
        <v>117</v>
      </c>
      <c r="B21" s="9" t="s">
        <v>122</v>
      </c>
      <c r="C21" s="9" t="s">
        <v>123</v>
      </c>
      <c r="D21" s="9" t="s">
        <v>124</v>
      </c>
      <c r="E21" s="9" t="s">
        <v>120</v>
      </c>
      <c r="F21" s="9"/>
      <c r="G21" s="9" t="s">
        <v>125</v>
      </c>
    </row>
    <row r="22" customFormat="false" ht="15" hidden="false" customHeight="false" outlineLevel="0" collapsed="false">
      <c r="A22" s="9" t="s">
        <v>117</v>
      </c>
      <c r="B22" s="9" t="s">
        <v>126</v>
      </c>
      <c r="C22" s="9" t="s">
        <v>86</v>
      </c>
      <c r="D22" s="9" t="s">
        <v>127</v>
      </c>
      <c r="E22" s="9" t="s">
        <v>120</v>
      </c>
      <c r="F22" s="9" t="s">
        <v>128</v>
      </c>
      <c r="G22" s="9" t="s">
        <v>57</v>
      </c>
    </row>
    <row r="23" customFormat="false" ht="15" hidden="false" customHeight="false" outlineLevel="0" collapsed="false">
      <c r="A23" s="9" t="s">
        <v>117</v>
      </c>
      <c r="B23" s="9" t="s">
        <v>129</v>
      </c>
      <c r="C23" s="9" t="s">
        <v>130</v>
      </c>
      <c r="D23" s="9" t="s">
        <v>131</v>
      </c>
      <c r="E23" s="9" t="s">
        <v>120</v>
      </c>
      <c r="F23" s="9" t="s">
        <v>132</v>
      </c>
      <c r="G23" s="9" t="s">
        <v>133</v>
      </c>
    </row>
    <row r="24" customFormat="false" ht="15" hidden="false" customHeight="false" outlineLevel="0" collapsed="false">
      <c r="A24" s="9" t="s">
        <v>117</v>
      </c>
      <c r="B24" s="9" t="s">
        <v>134</v>
      </c>
      <c r="C24" s="9" t="s">
        <v>135</v>
      </c>
      <c r="D24" s="9" t="s">
        <v>136</v>
      </c>
      <c r="E24" s="9" t="s">
        <v>120</v>
      </c>
      <c r="F24" s="9"/>
      <c r="G24" s="9" t="s">
        <v>137</v>
      </c>
    </row>
    <row r="25" customFormat="false" ht="15" hidden="false" customHeight="false" outlineLevel="0" collapsed="false">
      <c r="A25" s="9" t="s">
        <v>117</v>
      </c>
      <c r="B25" s="9" t="s">
        <v>138</v>
      </c>
      <c r="C25" s="9" t="s">
        <v>139</v>
      </c>
      <c r="D25" s="9" t="s">
        <v>140</v>
      </c>
      <c r="E25" s="9" t="s">
        <v>120</v>
      </c>
      <c r="F25" s="9" t="s">
        <v>141</v>
      </c>
      <c r="G25" s="9" t="s">
        <v>70</v>
      </c>
    </row>
    <row r="26" customFormat="false" ht="15" hidden="false" customHeight="false" outlineLevel="0" collapsed="false">
      <c r="A26" s="9" t="s">
        <v>117</v>
      </c>
      <c r="B26" s="9" t="s">
        <v>142</v>
      </c>
      <c r="C26" s="9" t="s">
        <v>143</v>
      </c>
      <c r="D26" s="9" t="s">
        <v>144</v>
      </c>
      <c r="E26" s="9" t="s">
        <v>120</v>
      </c>
      <c r="F26" s="9"/>
      <c r="G26" s="9" t="s">
        <v>137</v>
      </c>
    </row>
    <row r="27" customFormat="false" ht="15" hidden="false" customHeight="false" outlineLevel="0" collapsed="false">
      <c r="A27" s="9" t="s">
        <v>117</v>
      </c>
      <c r="B27" s="9" t="s">
        <v>145</v>
      </c>
      <c r="C27" s="9" t="s">
        <v>146</v>
      </c>
      <c r="D27" s="9" t="s">
        <v>147</v>
      </c>
      <c r="E27" s="9" t="s">
        <v>120</v>
      </c>
      <c r="F27" s="9"/>
      <c r="G27" s="9"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0"/>
    <col collapsed="false" customWidth="true" hidden="false" outlineLevel="0" max="3" min="3" style="0" width="8"/>
    <col collapsed="false" customWidth="true" hidden="false" outlineLevel="0" max="8" min="4" style="0" width="10"/>
    <col collapsed="false" customWidth="true" hidden="false" outlineLevel="0" max="9" min="9" style="0" width="9"/>
    <col collapsed="false" customWidth="true" hidden="false" outlineLevel="0" max="11" min="10" style="0" width="10"/>
    <col collapsed="false" customWidth="true" hidden="false" outlineLevel="0" max="12" min="12" style="0" width="20"/>
  </cols>
  <sheetData>
    <row r="1" customFormat="false" ht="57.45" hidden="false" customHeight="false" outlineLevel="0" collapsed="false">
      <c r="A1" s="8" t="s">
        <v>149</v>
      </c>
      <c r="B1" s="8" t="s">
        <v>150</v>
      </c>
      <c r="C1" s="8" t="s">
        <v>151</v>
      </c>
      <c r="D1" s="8" t="s">
        <v>7</v>
      </c>
      <c r="E1" s="8" t="s">
        <v>152</v>
      </c>
      <c r="F1" s="8" t="s">
        <v>153</v>
      </c>
      <c r="G1" s="8" t="s">
        <v>9</v>
      </c>
      <c r="H1" s="8" t="s">
        <v>154</v>
      </c>
      <c r="I1" s="8" t="s">
        <v>155</v>
      </c>
      <c r="J1" s="8" t="s">
        <v>156</v>
      </c>
      <c r="K1" s="8" t="s">
        <v>157</v>
      </c>
      <c r="L1" s="8" t="s">
        <v>158</v>
      </c>
    </row>
    <row r="2" customFormat="false" ht="15" hidden="false" customHeight="false" outlineLevel="0" collapsed="false">
      <c r="A2" s="9" t="s">
        <v>159</v>
      </c>
      <c r="B2" s="9" t="s">
        <v>87</v>
      </c>
      <c r="C2" s="9" t="n">
        <v>883</v>
      </c>
      <c r="D2" s="9" t="n">
        <v>36</v>
      </c>
      <c r="E2" s="9" t="n">
        <v>7</v>
      </c>
      <c r="F2" s="9" t="n">
        <v>114</v>
      </c>
      <c r="G2" s="9" t="n">
        <v>84</v>
      </c>
      <c r="H2" s="9" t="n">
        <v>43</v>
      </c>
      <c r="I2" s="9" t="n">
        <v>3</v>
      </c>
      <c r="J2" s="9" t="n">
        <v>0</v>
      </c>
      <c r="K2" s="9" t="n">
        <v>0</v>
      </c>
      <c r="L2" s="9" t="s">
        <v>160</v>
      </c>
    </row>
    <row r="3" customFormat="false" ht="15" hidden="false" customHeight="false" outlineLevel="0" collapsed="false">
      <c r="A3" s="9" t="s">
        <v>161</v>
      </c>
      <c r="B3" s="9" t="s">
        <v>47</v>
      </c>
      <c r="C3" s="9" t="n">
        <v>971</v>
      </c>
      <c r="D3" s="9" t="n">
        <v>34</v>
      </c>
      <c r="E3" s="9" t="n">
        <v>0</v>
      </c>
      <c r="F3" s="9" t="n">
        <v>108</v>
      </c>
      <c r="G3" s="9" t="n">
        <v>80</v>
      </c>
      <c r="H3" s="9" t="n">
        <v>53</v>
      </c>
      <c r="I3" s="9" t="n">
        <v>1</v>
      </c>
      <c r="J3" s="9" t="n">
        <v>0</v>
      </c>
      <c r="K3" s="9" t="n">
        <v>0</v>
      </c>
      <c r="L3" s="9" t="s">
        <v>160</v>
      </c>
    </row>
    <row r="4" customFormat="false" ht="15" hidden="false" customHeight="false" outlineLevel="0" collapsed="false">
      <c r="A4" s="9" t="s">
        <v>162</v>
      </c>
      <c r="B4" s="9" t="s">
        <v>101</v>
      </c>
      <c r="C4" s="9" t="n">
        <v>640</v>
      </c>
      <c r="D4" s="9" t="n">
        <v>33</v>
      </c>
      <c r="E4" s="9" t="n">
        <v>8</v>
      </c>
      <c r="F4" s="9" t="n">
        <v>106</v>
      </c>
      <c r="G4" s="9" t="n">
        <v>82</v>
      </c>
      <c r="H4" s="9" t="n">
        <v>34</v>
      </c>
      <c r="I4" s="9" t="n">
        <v>2</v>
      </c>
      <c r="J4" s="9" t="n">
        <v>0</v>
      </c>
      <c r="K4" s="9" t="n">
        <v>0</v>
      </c>
      <c r="L4" s="9" t="s">
        <v>160</v>
      </c>
    </row>
    <row r="5" customFormat="false" ht="46.25" hidden="false" customHeight="false" outlineLevel="0" collapsed="false">
      <c r="A5" s="9" t="s">
        <v>163</v>
      </c>
      <c r="B5" s="9" t="s">
        <v>164</v>
      </c>
      <c r="C5" s="9" t="n">
        <v>407</v>
      </c>
      <c r="D5" s="9" t="n">
        <v>25</v>
      </c>
      <c r="E5" s="9" t="n">
        <v>2</v>
      </c>
      <c r="F5" s="9" t="n">
        <v>98</v>
      </c>
      <c r="G5" s="9" t="n">
        <v>64</v>
      </c>
      <c r="H5" s="9" t="n">
        <v>38</v>
      </c>
      <c r="I5" s="9" t="n">
        <v>1</v>
      </c>
      <c r="J5" s="9" t="n">
        <v>0</v>
      </c>
      <c r="K5" s="9" t="n">
        <v>0</v>
      </c>
      <c r="L5" s="9" t="s">
        <v>160</v>
      </c>
    </row>
    <row r="6" customFormat="false" ht="15" hidden="false" customHeight="false" outlineLevel="0" collapsed="false">
      <c r="A6" s="9" t="s">
        <v>165</v>
      </c>
      <c r="B6" s="9" t="s">
        <v>96</v>
      </c>
      <c r="C6" s="9" t="n">
        <v>468</v>
      </c>
      <c r="D6" s="9" t="n">
        <v>29</v>
      </c>
      <c r="E6" s="9" t="n">
        <v>8</v>
      </c>
      <c r="F6" s="9" t="n">
        <v>96</v>
      </c>
      <c r="G6" s="9" t="n">
        <v>69</v>
      </c>
      <c r="H6" s="9" t="n">
        <v>34</v>
      </c>
      <c r="I6" s="9" t="n">
        <v>1</v>
      </c>
      <c r="J6" s="9" t="n">
        <v>0</v>
      </c>
      <c r="K6" s="9" t="n">
        <v>0</v>
      </c>
      <c r="L6" s="9" t="s">
        <v>160</v>
      </c>
    </row>
    <row r="7" customFormat="false" ht="15" hidden="false" customHeight="false" outlineLevel="0" collapsed="false">
      <c r="A7" s="9" t="s">
        <v>166</v>
      </c>
      <c r="B7" s="9" t="s">
        <v>167</v>
      </c>
      <c r="C7" s="9" t="n">
        <v>676</v>
      </c>
      <c r="D7" s="9" t="n">
        <v>29</v>
      </c>
      <c r="E7" s="9" t="n">
        <v>8</v>
      </c>
      <c r="F7" s="9" t="n">
        <v>95</v>
      </c>
      <c r="G7" s="9" t="n">
        <v>70</v>
      </c>
      <c r="H7" s="9" t="n">
        <v>33</v>
      </c>
      <c r="I7" s="9" t="n">
        <v>1</v>
      </c>
      <c r="J7" s="9" t="n">
        <v>0</v>
      </c>
      <c r="K7" s="9" t="n">
        <v>0</v>
      </c>
      <c r="L7" s="9" t="s">
        <v>160</v>
      </c>
    </row>
    <row r="8" customFormat="false" ht="15" hidden="false" customHeight="false" outlineLevel="0" collapsed="false">
      <c r="A8" s="9" t="s">
        <v>168</v>
      </c>
      <c r="B8" s="9" t="s">
        <v>169</v>
      </c>
      <c r="C8" s="9" t="n">
        <v>466</v>
      </c>
      <c r="D8" s="9" t="n">
        <v>22</v>
      </c>
      <c r="E8" s="9" t="n">
        <v>1</v>
      </c>
      <c r="F8" s="9" t="n">
        <v>91</v>
      </c>
      <c r="G8" s="9" t="n">
        <v>64</v>
      </c>
      <c r="H8" s="9" t="n">
        <v>28</v>
      </c>
      <c r="I8" s="9" t="n">
        <v>7</v>
      </c>
      <c r="J8" s="9" t="n">
        <v>0</v>
      </c>
      <c r="K8" s="9" t="n">
        <v>0</v>
      </c>
      <c r="L8" s="9" t="s">
        <v>160</v>
      </c>
    </row>
    <row r="9" customFormat="false" ht="15" hidden="false" customHeight="false" outlineLevel="0" collapsed="false">
      <c r="A9" s="9" t="s">
        <v>170</v>
      </c>
      <c r="B9" s="9" t="s">
        <v>106</v>
      </c>
      <c r="C9" s="9" t="n">
        <v>799</v>
      </c>
      <c r="D9" s="9" t="n">
        <v>34</v>
      </c>
      <c r="E9" s="9" t="n">
        <v>9</v>
      </c>
      <c r="F9" s="9" t="n">
        <v>90</v>
      </c>
      <c r="G9" s="9" t="n">
        <v>71</v>
      </c>
      <c r="H9" s="9" t="n">
        <v>28</v>
      </c>
      <c r="I9" s="9" t="n">
        <v>1</v>
      </c>
      <c r="J9" s="9" t="n">
        <v>0</v>
      </c>
      <c r="K9" s="9" t="n">
        <v>0</v>
      </c>
      <c r="L9" s="9" t="s">
        <v>160</v>
      </c>
    </row>
    <row r="10" customFormat="false" ht="15" hidden="false" customHeight="false" outlineLevel="0" collapsed="false">
      <c r="A10" s="9" t="s">
        <v>171</v>
      </c>
      <c r="B10" s="9"/>
      <c r="C10" s="9" t="n">
        <v>161</v>
      </c>
      <c r="D10" s="9" t="n">
        <v>31</v>
      </c>
      <c r="E10" s="9" t="n">
        <v>1</v>
      </c>
      <c r="F10" s="9" t="n">
        <v>87</v>
      </c>
      <c r="G10" s="9" t="n">
        <v>64</v>
      </c>
      <c r="H10" s="9" t="n">
        <v>23</v>
      </c>
      <c r="I10" s="9" t="n">
        <v>1</v>
      </c>
      <c r="J10" s="9" t="n">
        <v>0</v>
      </c>
      <c r="K10" s="9" t="n">
        <v>0</v>
      </c>
      <c r="L10" s="9" t="s">
        <v>160</v>
      </c>
    </row>
    <row r="11" customFormat="false" ht="23.85" hidden="false" customHeight="false" outlineLevel="0" collapsed="false">
      <c r="A11" s="9" t="s">
        <v>172</v>
      </c>
      <c r="B11" s="9" t="s">
        <v>173</v>
      </c>
      <c r="C11" s="9" t="n">
        <v>354</v>
      </c>
      <c r="D11" s="9" t="n">
        <v>17</v>
      </c>
      <c r="E11" s="9" t="n">
        <v>9</v>
      </c>
      <c r="F11" s="9" t="n">
        <v>86</v>
      </c>
      <c r="G11" s="9" t="n">
        <v>64</v>
      </c>
      <c r="H11" s="9" t="n">
        <v>33</v>
      </c>
      <c r="I11" s="9" t="n">
        <v>1</v>
      </c>
      <c r="J11" s="9" t="n">
        <v>0</v>
      </c>
      <c r="K11" s="9" t="n">
        <v>0</v>
      </c>
      <c r="L11" s="9" t="s">
        <v>160</v>
      </c>
    </row>
    <row r="12" customFormat="false" ht="15" hidden="false" customHeight="false" outlineLevel="0" collapsed="false">
      <c r="A12" s="9" t="s">
        <v>174</v>
      </c>
      <c r="B12" s="9" t="s">
        <v>60</v>
      </c>
      <c r="C12" s="9" t="n">
        <v>558</v>
      </c>
      <c r="D12" s="9" t="n">
        <v>30</v>
      </c>
      <c r="E12" s="9" t="n">
        <v>1</v>
      </c>
      <c r="F12" s="9" t="n">
        <v>83</v>
      </c>
      <c r="G12" s="9" t="n">
        <v>62</v>
      </c>
      <c r="H12" s="9" t="n">
        <v>22</v>
      </c>
      <c r="I12" s="9" t="n">
        <v>4</v>
      </c>
      <c r="J12" s="9" t="n">
        <v>0</v>
      </c>
      <c r="K12" s="9" t="n">
        <v>0</v>
      </c>
      <c r="L12" s="9" t="s">
        <v>160</v>
      </c>
    </row>
    <row r="13" customFormat="false" ht="15" hidden="false" customHeight="false" outlineLevel="0" collapsed="false">
      <c r="A13" s="9" t="s">
        <v>175</v>
      </c>
      <c r="B13" s="9" t="s">
        <v>176</v>
      </c>
      <c r="C13" s="9" t="n">
        <v>978</v>
      </c>
      <c r="D13" s="9" t="n">
        <v>50</v>
      </c>
      <c r="E13" s="9" t="n">
        <v>1</v>
      </c>
      <c r="F13" s="9" t="n">
        <v>83</v>
      </c>
      <c r="G13" s="9" t="n">
        <v>20</v>
      </c>
      <c r="H13" s="9" t="n">
        <v>125</v>
      </c>
      <c r="I13" s="9" t="n">
        <v>0</v>
      </c>
      <c r="J13" s="9" t="n">
        <v>0</v>
      </c>
      <c r="K13" s="9" t="n">
        <v>28</v>
      </c>
      <c r="L13" s="9" t="s">
        <v>160</v>
      </c>
    </row>
    <row r="14" customFormat="false" ht="15" hidden="false" customHeight="false" outlineLevel="0" collapsed="false">
      <c r="A14" s="9" t="s">
        <v>177</v>
      </c>
      <c r="B14" s="9" t="s">
        <v>124</v>
      </c>
      <c r="C14" s="9" t="n">
        <v>500</v>
      </c>
      <c r="D14" s="9" t="n">
        <v>24</v>
      </c>
      <c r="E14" s="9" t="n">
        <v>0</v>
      </c>
      <c r="F14" s="9" t="n">
        <v>77</v>
      </c>
      <c r="G14" s="9" t="n">
        <v>53</v>
      </c>
      <c r="H14" s="9" t="n">
        <v>29</v>
      </c>
      <c r="I14" s="9" t="n">
        <v>0</v>
      </c>
      <c r="J14" s="9" t="n">
        <v>0</v>
      </c>
      <c r="K14" s="9" t="n">
        <v>0</v>
      </c>
      <c r="L14" s="9" t="s">
        <v>160</v>
      </c>
    </row>
    <row r="15" customFormat="false" ht="15" hidden="false" customHeight="false" outlineLevel="0" collapsed="false">
      <c r="A15" s="9" t="s">
        <v>178</v>
      </c>
      <c r="B15" s="9"/>
      <c r="C15" s="9" t="n">
        <v>158</v>
      </c>
      <c r="D15" s="9" t="n">
        <v>24</v>
      </c>
      <c r="E15" s="9" t="n">
        <v>1</v>
      </c>
      <c r="F15" s="9" t="n">
        <v>75</v>
      </c>
      <c r="G15" s="9" t="n">
        <v>54</v>
      </c>
      <c r="H15" s="9" t="n">
        <v>16</v>
      </c>
      <c r="I15" s="9" t="n">
        <v>1</v>
      </c>
      <c r="J15" s="9" t="n">
        <v>0</v>
      </c>
      <c r="K15" s="9" t="n">
        <v>0</v>
      </c>
      <c r="L15" s="9" t="s">
        <v>160</v>
      </c>
    </row>
    <row r="16" customFormat="false" ht="15" hidden="false" customHeight="false" outlineLevel="0" collapsed="false">
      <c r="A16" s="9" t="s">
        <v>179</v>
      </c>
      <c r="B16" s="9" t="s">
        <v>127</v>
      </c>
      <c r="C16" s="9" t="n">
        <v>526</v>
      </c>
      <c r="D16" s="9" t="n">
        <v>21</v>
      </c>
      <c r="E16" s="9" t="n">
        <v>0</v>
      </c>
      <c r="F16" s="9" t="n">
        <v>61</v>
      </c>
      <c r="G16" s="9" t="n">
        <v>39</v>
      </c>
      <c r="H16" s="9" t="n">
        <v>20</v>
      </c>
      <c r="I16" s="9" t="n">
        <v>0</v>
      </c>
      <c r="J16" s="9" t="n">
        <v>0</v>
      </c>
      <c r="K16" s="9" t="n">
        <v>0</v>
      </c>
      <c r="L16" s="9" t="s">
        <v>160</v>
      </c>
    </row>
    <row r="17" customFormat="false" ht="15" hidden="false" customHeight="false" outlineLevel="0" collapsed="false">
      <c r="A17" s="9" t="s">
        <v>180</v>
      </c>
      <c r="B17" s="9" t="s">
        <v>91</v>
      </c>
      <c r="C17" s="9" t="n">
        <v>260</v>
      </c>
      <c r="D17" s="9" t="n">
        <v>9</v>
      </c>
      <c r="E17" s="9" t="n">
        <v>8</v>
      </c>
      <c r="F17" s="9" t="n">
        <v>58</v>
      </c>
      <c r="G17" s="9" t="n">
        <v>41</v>
      </c>
      <c r="H17" s="9" t="n">
        <v>20</v>
      </c>
      <c r="I17" s="9" t="n">
        <v>2</v>
      </c>
      <c r="J17" s="9" t="n">
        <v>0</v>
      </c>
      <c r="K17" s="9" t="n">
        <v>0</v>
      </c>
      <c r="L17" s="9" t="s">
        <v>160</v>
      </c>
    </row>
    <row r="18" customFormat="false" ht="15" hidden="false" customHeight="false" outlineLevel="0" collapsed="false">
      <c r="A18" s="9" t="s">
        <v>181</v>
      </c>
      <c r="B18" s="9" t="s">
        <v>182</v>
      </c>
      <c r="C18" s="9" t="n">
        <v>471</v>
      </c>
      <c r="D18" s="9" t="n">
        <v>37</v>
      </c>
      <c r="E18" s="9" t="n">
        <v>0</v>
      </c>
      <c r="F18" s="9" t="n">
        <v>48</v>
      </c>
      <c r="G18" s="9" t="n">
        <v>4</v>
      </c>
      <c r="H18" s="9" t="n">
        <v>54</v>
      </c>
      <c r="I18" s="9" t="n">
        <v>0</v>
      </c>
      <c r="J18" s="9" t="n">
        <v>0</v>
      </c>
      <c r="K18" s="9" t="n">
        <v>11</v>
      </c>
      <c r="L18" s="9" t="s">
        <v>160</v>
      </c>
    </row>
    <row r="19" customFormat="false" ht="15" hidden="false" customHeight="false" outlineLevel="0" collapsed="false">
      <c r="A19" s="9" t="s">
        <v>183</v>
      </c>
      <c r="B19" s="9" t="s">
        <v>184</v>
      </c>
      <c r="C19" s="9" t="n">
        <v>202</v>
      </c>
      <c r="D19" s="9" t="n">
        <v>8</v>
      </c>
      <c r="E19" s="9" t="n">
        <v>1</v>
      </c>
      <c r="F19" s="9" t="n">
        <v>46</v>
      </c>
      <c r="G19" s="9" t="n">
        <v>34</v>
      </c>
      <c r="H19" s="9" t="n">
        <v>12</v>
      </c>
      <c r="I19" s="9" t="n">
        <v>1</v>
      </c>
      <c r="J19" s="9" t="n">
        <v>0</v>
      </c>
      <c r="K19" s="9" t="n">
        <v>0</v>
      </c>
      <c r="L19" s="9" t="s">
        <v>160</v>
      </c>
    </row>
    <row r="20" customFormat="false" ht="15" hidden="false" customHeight="false" outlineLevel="0" collapsed="false">
      <c r="A20" s="9" t="s">
        <v>185</v>
      </c>
      <c r="B20" s="9"/>
      <c r="C20" s="9" t="n">
        <v>165</v>
      </c>
      <c r="D20" s="9" t="n">
        <v>12</v>
      </c>
      <c r="E20" s="9" t="n">
        <v>0</v>
      </c>
      <c r="F20" s="9" t="n">
        <v>45</v>
      </c>
      <c r="G20" s="9" t="n">
        <v>36</v>
      </c>
      <c r="H20" s="9" t="n">
        <v>15</v>
      </c>
      <c r="I20" s="9" t="n">
        <v>0</v>
      </c>
      <c r="J20" s="9" t="n">
        <v>0</v>
      </c>
      <c r="K20" s="9" t="n">
        <v>0</v>
      </c>
      <c r="L20" s="9" t="s">
        <v>160</v>
      </c>
    </row>
    <row r="21" customFormat="false" ht="15" hidden="false" customHeight="false" outlineLevel="0" collapsed="false">
      <c r="A21" s="9" t="s">
        <v>186</v>
      </c>
      <c r="B21" s="9" t="s">
        <v>136</v>
      </c>
      <c r="C21" s="9" t="n">
        <v>265</v>
      </c>
      <c r="D21" s="9" t="n">
        <v>20</v>
      </c>
      <c r="E21" s="9" t="n">
        <v>0</v>
      </c>
      <c r="F21" s="9" t="n">
        <v>45</v>
      </c>
      <c r="G21" s="9" t="n">
        <v>31</v>
      </c>
      <c r="H21" s="9" t="n">
        <v>12</v>
      </c>
      <c r="I21" s="9" t="n">
        <v>0</v>
      </c>
      <c r="J21" s="9" t="n">
        <v>0</v>
      </c>
      <c r="K21" s="9" t="n">
        <v>0</v>
      </c>
      <c r="L21" s="9" t="s">
        <v>160</v>
      </c>
    </row>
    <row r="22" customFormat="false" ht="15" hidden="false" customHeight="false" outlineLevel="0" collapsed="false">
      <c r="A22" s="9" t="s">
        <v>187</v>
      </c>
      <c r="B22" s="9"/>
      <c r="C22" s="9" t="n">
        <v>188</v>
      </c>
      <c r="D22" s="9" t="n">
        <v>12</v>
      </c>
      <c r="E22" s="9" t="n">
        <v>5</v>
      </c>
      <c r="F22" s="9" t="n">
        <v>44</v>
      </c>
      <c r="G22" s="9" t="n">
        <v>35</v>
      </c>
      <c r="H22" s="9" t="n">
        <v>8</v>
      </c>
      <c r="I22" s="9" t="n">
        <v>1</v>
      </c>
      <c r="J22" s="9" t="n">
        <v>0</v>
      </c>
      <c r="K22" s="9" t="n">
        <v>0</v>
      </c>
      <c r="L22" s="9" t="s">
        <v>160</v>
      </c>
    </row>
    <row r="23" customFormat="false" ht="15" hidden="false" customHeight="false" outlineLevel="0" collapsed="false">
      <c r="A23" s="9" t="s">
        <v>188</v>
      </c>
      <c r="B23" s="9" t="s">
        <v>131</v>
      </c>
      <c r="C23" s="9" t="n">
        <v>236</v>
      </c>
      <c r="D23" s="9" t="n">
        <v>18</v>
      </c>
      <c r="E23" s="9" t="n">
        <v>0</v>
      </c>
      <c r="F23" s="9" t="n">
        <v>40</v>
      </c>
      <c r="G23" s="9" t="n">
        <v>33</v>
      </c>
      <c r="H23" s="9" t="n">
        <v>11</v>
      </c>
      <c r="I23" s="9" t="n">
        <v>0</v>
      </c>
      <c r="J23" s="9" t="n">
        <v>0</v>
      </c>
      <c r="K23" s="9" t="n">
        <v>0</v>
      </c>
      <c r="L23" s="9" t="s">
        <v>160</v>
      </c>
    </row>
    <row r="24" customFormat="false" ht="15" hidden="false" customHeight="false" outlineLevel="0" collapsed="false">
      <c r="A24" s="9" t="s">
        <v>189</v>
      </c>
      <c r="B24" s="9" t="s">
        <v>144</v>
      </c>
      <c r="C24" s="9" t="n">
        <v>446</v>
      </c>
      <c r="D24" s="9" t="n">
        <v>15</v>
      </c>
      <c r="E24" s="9" t="n">
        <v>1</v>
      </c>
      <c r="F24" s="9" t="n">
        <v>37</v>
      </c>
      <c r="G24" s="9" t="n">
        <v>24</v>
      </c>
      <c r="H24" s="9" t="n">
        <v>10</v>
      </c>
      <c r="I24" s="9" t="n">
        <v>0</v>
      </c>
      <c r="J24" s="9" t="n">
        <v>0</v>
      </c>
      <c r="K24" s="9" t="n">
        <v>0</v>
      </c>
      <c r="L24" s="9" t="s">
        <v>160</v>
      </c>
    </row>
    <row r="25" customFormat="false" ht="15" hidden="false" customHeight="false" outlineLevel="0" collapsed="false">
      <c r="A25" s="9" t="s">
        <v>190</v>
      </c>
      <c r="B25" s="9" t="s">
        <v>191</v>
      </c>
      <c r="C25" s="9" t="n">
        <v>149</v>
      </c>
      <c r="D25" s="9" t="n">
        <v>10</v>
      </c>
      <c r="E25" s="9" t="n">
        <v>1</v>
      </c>
      <c r="F25" s="9" t="n">
        <v>35</v>
      </c>
      <c r="G25" s="9" t="n">
        <v>24</v>
      </c>
      <c r="H25" s="9" t="n">
        <v>8</v>
      </c>
      <c r="I25" s="9" t="n">
        <v>1</v>
      </c>
      <c r="J25" s="9" t="n">
        <v>0</v>
      </c>
      <c r="K25" s="9" t="n">
        <v>0</v>
      </c>
      <c r="L25" s="9" t="s">
        <v>160</v>
      </c>
    </row>
    <row r="26" customFormat="false" ht="15" hidden="false" customHeight="false" outlineLevel="0" collapsed="false">
      <c r="A26" s="9" t="s">
        <v>192</v>
      </c>
      <c r="B26" s="9" t="s">
        <v>193</v>
      </c>
      <c r="C26" s="9" t="n">
        <v>165</v>
      </c>
      <c r="D26" s="9" t="n">
        <v>10</v>
      </c>
      <c r="E26" s="9" t="n">
        <v>1</v>
      </c>
      <c r="F26" s="9" t="n">
        <v>35</v>
      </c>
      <c r="G26" s="9" t="n">
        <v>24</v>
      </c>
      <c r="H26" s="9" t="n">
        <v>8</v>
      </c>
      <c r="I26" s="9" t="n">
        <v>1</v>
      </c>
      <c r="J26" s="9" t="n">
        <v>0</v>
      </c>
      <c r="K26" s="9" t="n">
        <v>0</v>
      </c>
      <c r="L26" s="9" t="s">
        <v>160</v>
      </c>
    </row>
    <row r="27" customFormat="false" ht="23.85" hidden="false" customHeight="false" outlineLevel="0" collapsed="false">
      <c r="A27" s="9" t="s">
        <v>194</v>
      </c>
      <c r="B27" s="9" t="s">
        <v>195</v>
      </c>
      <c r="C27" s="9" t="n">
        <v>451</v>
      </c>
      <c r="D27" s="9" t="n">
        <v>22</v>
      </c>
      <c r="E27" s="9" t="n">
        <v>0</v>
      </c>
      <c r="F27" s="9" t="n">
        <v>34</v>
      </c>
      <c r="G27" s="9" t="n">
        <v>27</v>
      </c>
      <c r="H27" s="9" t="n">
        <v>8</v>
      </c>
      <c r="I27" s="9" t="n">
        <v>0</v>
      </c>
      <c r="J27" s="9" t="n">
        <v>0</v>
      </c>
      <c r="K27" s="9" t="n">
        <v>0</v>
      </c>
      <c r="L27" s="9" t="s">
        <v>160</v>
      </c>
    </row>
    <row r="28" customFormat="false" ht="15" hidden="false" customHeight="false" outlineLevel="0" collapsed="false">
      <c r="A28" s="9" t="s">
        <v>196</v>
      </c>
      <c r="B28" s="9" t="s">
        <v>52</v>
      </c>
      <c r="C28" s="9" t="n">
        <v>281</v>
      </c>
      <c r="D28" s="9" t="n">
        <v>12</v>
      </c>
      <c r="E28" s="9" t="n">
        <v>0</v>
      </c>
      <c r="F28" s="9" t="n">
        <v>27</v>
      </c>
      <c r="G28" s="9" t="n">
        <v>19</v>
      </c>
      <c r="H28" s="9" t="n">
        <v>14</v>
      </c>
      <c r="I28" s="9" t="n">
        <v>1</v>
      </c>
      <c r="J28" s="9" t="n">
        <v>0</v>
      </c>
      <c r="K28" s="9" t="n">
        <v>0</v>
      </c>
      <c r="L28" s="9" t="s">
        <v>160</v>
      </c>
    </row>
    <row r="29" customFormat="false" ht="15" hidden="false" customHeight="false" outlineLevel="0" collapsed="false">
      <c r="A29" s="9" t="s">
        <v>197</v>
      </c>
      <c r="B29" s="9" t="s">
        <v>198</v>
      </c>
      <c r="C29" s="9" t="n">
        <v>206</v>
      </c>
      <c r="D29" s="9" t="n">
        <v>4</v>
      </c>
      <c r="E29" s="9" t="n">
        <v>2</v>
      </c>
      <c r="F29" s="9" t="n">
        <v>27</v>
      </c>
      <c r="G29" s="9" t="n">
        <v>19</v>
      </c>
      <c r="H29" s="9" t="n">
        <v>1</v>
      </c>
      <c r="I29" s="9" t="n">
        <v>4</v>
      </c>
      <c r="J29" s="9" t="n">
        <v>0</v>
      </c>
      <c r="K29" s="9" t="n">
        <v>0</v>
      </c>
      <c r="L29" s="9" t="s">
        <v>160</v>
      </c>
    </row>
    <row r="30" customFormat="false" ht="15" hidden="false" customHeight="false" outlineLevel="0" collapsed="false">
      <c r="A30" s="9" t="s">
        <v>199</v>
      </c>
      <c r="B30" s="9"/>
      <c r="C30" s="9" t="n">
        <v>111</v>
      </c>
      <c r="D30" s="9" t="n">
        <v>7</v>
      </c>
      <c r="E30" s="9" t="n">
        <v>0</v>
      </c>
      <c r="F30" s="9" t="n">
        <v>24</v>
      </c>
      <c r="G30" s="9" t="n">
        <v>18</v>
      </c>
      <c r="H30" s="9" t="n">
        <v>6</v>
      </c>
      <c r="I30" s="9" t="n">
        <v>0</v>
      </c>
      <c r="J30" s="9" t="n">
        <v>0</v>
      </c>
      <c r="K30" s="9" t="n">
        <v>0</v>
      </c>
      <c r="L30" s="9" t="s">
        <v>160</v>
      </c>
    </row>
    <row r="31" customFormat="false" ht="35.05" hidden="false" customHeight="false" outlineLevel="0" collapsed="false">
      <c r="A31" s="9" t="s">
        <v>200</v>
      </c>
      <c r="B31" s="9" t="s">
        <v>201</v>
      </c>
      <c r="C31" s="9" t="n">
        <v>267</v>
      </c>
      <c r="D31" s="9" t="n">
        <v>7</v>
      </c>
      <c r="E31" s="9" t="n">
        <v>0</v>
      </c>
      <c r="F31" s="9" t="n">
        <v>23</v>
      </c>
      <c r="G31" s="9" t="n">
        <v>14</v>
      </c>
      <c r="H31" s="9" t="n">
        <v>11</v>
      </c>
      <c r="I31" s="9" t="n">
        <v>0</v>
      </c>
      <c r="J31" s="9" t="n">
        <v>0</v>
      </c>
      <c r="K31" s="9" t="n">
        <v>0</v>
      </c>
      <c r="L31" s="9" t="s">
        <v>160</v>
      </c>
    </row>
    <row r="32" customFormat="false" ht="15" hidden="false" customHeight="false" outlineLevel="0" collapsed="false">
      <c r="A32" s="9" t="s">
        <v>202</v>
      </c>
      <c r="B32" s="9"/>
      <c r="C32" s="9" t="n">
        <v>99</v>
      </c>
      <c r="D32" s="9" t="n">
        <v>6</v>
      </c>
      <c r="E32" s="9" t="n">
        <v>0</v>
      </c>
      <c r="F32" s="9" t="n">
        <v>22</v>
      </c>
      <c r="G32" s="9" t="n">
        <v>18</v>
      </c>
      <c r="H32" s="9" t="n">
        <v>5</v>
      </c>
      <c r="I32" s="9" t="n">
        <v>0</v>
      </c>
      <c r="J32" s="9" t="n">
        <v>0</v>
      </c>
      <c r="K32" s="9" t="n">
        <v>0</v>
      </c>
      <c r="L32" s="9" t="s">
        <v>160</v>
      </c>
    </row>
    <row r="33" customFormat="false" ht="15" hidden="false" customHeight="false" outlineLevel="0" collapsed="false">
      <c r="A33" s="9" t="s">
        <v>203</v>
      </c>
      <c r="B33" s="9" t="s">
        <v>204</v>
      </c>
      <c r="C33" s="9" t="n">
        <v>76</v>
      </c>
      <c r="D33" s="9" t="n">
        <v>5</v>
      </c>
      <c r="E33" s="9" t="n">
        <v>0</v>
      </c>
      <c r="F33" s="9" t="n">
        <v>22</v>
      </c>
      <c r="G33" s="9" t="n">
        <v>16</v>
      </c>
      <c r="H33" s="9" t="n">
        <v>7</v>
      </c>
      <c r="I33" s="9" t="n">
        <v>1</v>
      </c>
      <c r="J33" s="9" t="n">
        <v>0</v>
      </c>
      <c r="K33" s="9" t="n">
        <v>0</v>
      </c>
      <c r="L33" s="9" t="s">
        <v>160</v>
      </c>
    </row>
    <row r="34" customFormat="false" ht="15" hidden="false" customHeight="false" outlineLevel="0" collapsed="false">
      <c r="A34" s="9" t="s">
        <v>205</v>
      </c>
      <c r="B34" s="9" t="s">
        <v>206</v>
      </c>
      <c r="C34" s="9" t="n">
        <v>195</v>
      </c>
      <c r="D34" s="9" t="n">
        <v>18</v>
      </c>
      <c r="E34" s="9" t="n">
        <v>0</v>
      </c>
      <c r="F34" s="9" t="n">
        <v>19</v>
      </c>
      <c r="G34" s="9" t="n">
        <v>1</v>
      </c>
      <c r="H34" s="9" t="n">
        <v>40</v>
      </c>
      <c r="I34" s="9" t="n">
        <v>0</v>
      </c>
      <c r="J34" s="9" t="n">
        <v>0</v>
      </c>
      <c r="K34" s="9" t="n">
        <v>4</v>
      </c>
      <c r="L34" s="9" t="s">
        <v>160</v>
      </c>
    </row>
    <row r="35" customFormat="false" ht="15" hidden="false" customHeight="false" outlineLevel="0" collapsed="false">
      <c r="A35" s="9" t="s">
        <v>207</v>
      </c>
      <c r="B35" s="9" t="s">
        <v>140</v>
      </c>
      <c r="C35" s="9" t="n">
        <v>232</v>
      </c>
      <c r="D35" s="9" t="n">
        <v>9</v>
      </c>
      <c r="E35" s="9" t="n">
        <v>0</v>
      </c>
      <c r="F35" s="9" t="n">
        <v>16</v>
      </c>
      <c r="G35" s="9" t="n">
        <v>11</v>
      </c>
      <c r="H35" s="9" t="n">
        <v>5</v>
      </c>
      <c r="I35" s="9" t="n">
        <v>0</v>
      </c>
      <c r="J35" s="9" t="n">
        <v>0</v>
      </c>
      <c r="K35" s="9" t="n">
        <v>0</v>
      </c>
      <c r="L35" s="9" t="s">
        <v>160</v>
      </c>
    </row>
    <row r="36" customFormat="false" ht="15" hidden="false" customHeight="false" outlineLevel="0" collapsed="false">
      <c r="A36" s="9" t="s">
        <v>208</v>
      </c>
      <c r="B36" s="9" t="s">
        <v>147</v>
      </c>
      <c r="C36" s="9" t="n">
        <v>257</v>
      </c>
      <c r="D36" s="9" t="n">
        <v>7</v>
      </c>
      <c r="E36" s="9" t="n">
        <v>0</v>
      </c>
      <c r="F36" s="9" t="n">
        <v>13</v>
      </c>
      <c r="G36" s="9" t="n">
        <v>9</v>
      </c>
      <c r="H36" s="9" t="n">
        <v>4</v>
      </c>
      <c r="I36" s="9" t="n">
        <v>0</v>
      </c>
      <c r="J36" s="9" t="n">
        <v>0</v>
      </c>
      <c r="K36" s="9" t="n">
        <v>0</v>
      </c>
      <c r="L36" s="9" t="s">
        <v>160</v>
      </c>
    </row>
    <row r="37" customFormat="false" ht="15" hidden="false" customHeight="false" outlineLevel="0" collapsed="false">
      <c r="A37" s="9" t="s">
        <v>209</v>
      </c>
      <c r="B37" s="9" t="s">
        <v>210</v>
      </c>
      <c r="C37" s="9" t="n">
        <v>63</v>
      </c>
      <c r="D37" s="9" t="n">
        <v>4</v>
      </c>
      <c r="E37" s="9" t="n">
        <v>0</v>
      </c>
      <c r="F37" s="9" t="n">
        <v>13</v>
      </c>
      <c r="G37" s="9" t="n">
        <v>9</v>
      </c>
      <c r="H37" s="9" t="n">
        <v>6</v>
      </c>
      <c r="I37" s="9" t="n">
        <v>0</v>
      </c>
      <c r="J37" s="9" t="n">
        <v>0</v>
      </c>
      <c r="K37" s="9" t="n">
        <v>0</v>
      </c>
      <c r="L37" s="9" t="s">
        <v>160</v>
      </c>
    </row>
    <row r="38" customFormat="false" ht="23.85" hidden="false" customHeight="false" outlineLevel="0" collapsed="false">
      <c r="A38" s="9" t="s">
        <v>211</v>
      </c>
      <c r="B38" s="9" t="s">
        <v>212</v>
      </c>
      <c r="C38" s="9" t="n">
        <v>221</v>
      </c>
      <c r="D38" s="9" t="n">
        <v>4</v>
      </c>
      <c r="E38" s="9" t="n">
        <v>0</v>
      </c>
      <c r="F38" s="9" t="n">
        <v>12</v>
      </c>
      <c r="G38" s="9" t="n">
        <v>7</v>
      </c>
      <c r="H38" s="9" t="n">
        <v>6</v>
      </c>
      <c r="I38" s="9" t="n">
        <v>0</v>
      </c>
      <c r="J38" s="9" t="n">
        <v>0</v>
      </c>
      <c r="K38" s="9" t="n">
        <v>0</v>
      </c>
      <c r="L38" s="9" t="s">
        <v>160</v>
      </c>
    </row>
    <row r="39" customFormat="false" ht="15" hidden="false" customHeight="false" outlineLevel="0" collapsed="false">
      <c r="A39" s="9" t="s">
        <v>213</v>
      </c>
      <c r="B39" s="9"/>
      <c r="C39" s="9" t="n">
        <v>243</v>
      </c>
      <c r="D39" s="9" t="n">
        <v>3</v>
      </c>
      <c r="E39" s="9" t="n">
        <v>0</v>
      </c>
      <c r="F39" s="9" t="n">
        <v>11</v>
      </c>
      <c r="G39" s="9" t="n">
        <v>9</v>
      </c>
      <c r="H39" s="9" t="n">
        <v>1</v>
      </c>
      <c r="I39" s="9" t="n">
        <v>0</v>
      </c>
      <c r="J39" s="9" t="n">
        <v>0</v>
      </c>
      <c r="K39" s="9" t="n">
        <v>0</v>
      </c>
      <c r="L39" s="9" t="s">
        <v>160</v>
      </c>
    </row>
    <row r="40" customFormat="false" ht="15" hidden="false" customHeight="false" outlineLevel="0" collapsed="false">
      <c r="A40" s="9" t="s">
        <v>214</v>
      </c>
      <c r="B40" s="9"/>
      <c r="C40" s="9" t="n">
        <v>138</v>
      </c>
      <c r="D40" s="9" t="n">
        <v>3</v>
      </c>
      <c r="E40" s="9" t="n">
        <v>0</v>
      </c>
      <c r="F40" s="9" t="n">
        <v>11</v>
      </c>
      <c r="G40" s="9" t="n">
        <v>9</v>
      </c>
      <c r="H40" s="9" t="n">
        <v>1</v>
      </c>
      <c r="I40" s="9" t="n">
        <v>0</v>
      </c>
      <c r="J40" s="9" t="n">
        <v>0</v>
      </c>
      <c r="K40" s="9" t="n">
        <v>0</v>
      </c>
      <c r="L40" s="9" t="s">
        <v>160</v>
      </c>
    </row>
    <row r="41" customFormat="false" ht="15" hidden="false" customHeight="false" outlineLevel="0" collapsed="false">
      <c r="A41" s="9" t="s">
        <v>215</v>
      </c>
      <c r="B41" s="9"/>
      <c r="C41" s="9" t="n">
        <v>108</v>
      </c>
      <c r="D41" s="9" t="n">
        <v>3</v>
      </c>
      <c r="E41" s="9" t="n">
        <v>0</v>
      </c>
      <c r="F41" s="9" t="n">
        <v>11</v>
      </c>
      <c r="G41" s="9" t="n">
        <v>9</v>
      </c>
      <c r="H41" s="9" t="n">
        <v>1</v>
      </c>
      <c r="I41" s="9" t="n">
        <v>0</v>
      </c>
      <c r="J41" s="9" t="n">
        <v>0</v>
      </c>
      <c r="K41" s="9" t="n">
        <v>0</v>
      </c>
      <c r="L41" s="9" t="s">
        <v>160</v>
      </c>
    </row>
    <row r="42" customFormat="false" ht="15" hidden="false" customHeight="false" outlineLevel="0" collapsed="false">
      <c r="A42" s="9" t="s">
        <v>216</v>
      </c>
      <c r="B42" s="9"/>
      <c r="C42" s="9" t="n">
        <v>178</v>
      </c>
      <c r="D42" s="9" t="n">
        <v>3</v>
      </c>
      <c r="E42" s="9" t="n">
        <v>1</v>
      </c>
      <c r="F42" s="9" t="n">
        <v>11</v>
      </c>
      <c r="G42" s="9" t="n">
        <v>9</v>
      </c>
      <c r="H42" s="9" t="n">
        <v>1</v>
      </c>
      <c r="I42" s="9" t="n">
        <v>0</v>
      </c>
      <c r="J42" s="9" t="n">
        <v>0</v>
      </c>
      <c r="K42" s="9" t="n">
        <v>0</v>
      </c>
      <c r="L42" s="9" t="s">
        <v>160</v>
      </c>
    </row>
    <row r="43" customFormat="false" ht="15" hidden="false" customHeight="false" outlineLevel="0" collapsed="false">
      <c r="A43" s="9" t="s">
        <v>217</v>
      </c>
      <c r="B43" s="9" t="s">
        <v>65</v>
      </c>
      <c r="C43" s="9" t="n">
        <v>180</v>
      </c>
      <c r="D43" s="9" t="n">
        <v>7</v>
      </c>
      <c r="E43" s="9" t="n">
        <v>0</v>
      </c>
      <c r="F43" s="9" t="n">
        <v>10</v>
      </c>
      <c r="G43" s="9" t="n">
        <v>7</v>
      </c>
      <c r="H43" s="9" t="n">
        <v>3</v>
      </c>
      <c r="I43" s="9" t="n">
        <v>0</v>
      </c>
      <c r="J43" s="9" t="n">
        <v>0</v>
      </c>
      <c r="K43" s="9" t="n">
        <v>0</v>
      </c>
      <c r="L43" s="9" t="s">
        <v>160</v>
      </c>
    </row>
    <row r="44" customFormat="false" ht="23.85" hidden="false" customHeight="false" outlineLevel="0" collapsed="false">
      <c r="A44" s="9" t="s">
        <v>218</v>
      </c>
      <c r="B44" s="9" t="s">
        <v>219</v>
      </c>
      <c r="C44" s="9" t="n">
        <v>129</v>
      </c>
      <c r="D44" s="9" t="n">
        <v>2</v>
      </c>
      <c r="E44" s="9" t="n">
        <v>0</v>
      </c>
      <c r="F44" s="9" t="n">
        <v>10</v>
      </c>
      <c r="G44" s="9" t="n">
        <v>9</v>
      </c>
      <c r="H44" s="9" t="n">
        <v>17</v>
      </c>
      <c r="I44" s="9" t="n">
        <v>0</v>
      </c>
      <c r="J44" s="9" t="n">
        <v>0</v>
      </c>
      <c r="K44" s="9" t="n">
        <v>0</v>
      </c>
      <c r="L44" s="9" t="s">
        <v>160</v>
      </c>
    </row>
    <row r="45" customFormat="false" ht="15" hidden="false" customHeight="false" outlineLevel="0" collapsed="false">
      <c r="A45" s="9" t="s">
        <v>220</v>
      </c>
      <c r="B45" s="9"/>
      <c r="C45" s="9" t="n">
        <v>35</v>
      </c>
      <c r="D45" s="9" t="n">
        <v>3</v>
      </c>
      <c r="E45" s="9" t="n">
        <v>0</v>
      </c>
      <c r="F45" s="9" t="n">
        <v>9</v>
      </c>
      <c r="G45" s="9" t="n">
        <v>8</v>
      </c>
      <c r="H45" s="9" t="n">
        <v>1</v>
      </c>
      <c r="I45" s="9" t="n">
        <v>0</v>
      </c>
      <c r="J45" s="9" t="n">
        <v>0</v>
      </c>
      <c r="K45" s="9" t="n">
        <v>0</v>
      </c>
      <c r="L45" s="9" t="s">
        <v>160</v>
      </c>
    </row>
    <row r="46" customFormat="false" ht="15" hidden="false" customHeight="false" outlineLevel="0" collapsed="false">
      <c r="A46" s="9" t="s">
        <v>221</v>
      </c>
      <c r="B46" s="9" t="s">
        <v>222</v>
      </c>
      <c r="C46" s="9" t="n">
        <v>92</v>
      </c>
      <c r="D46" s="9" t="n">
        <v>2</v>
      </c>
      <c r="E46" s="9" t="n">
        <v>0</v>
      </c>
      <c r="F46" s="9" t="n">
        <v>8</v>
      </c>
      <c r="G46" s="9" t="n">
        <v>6</v>
      </c>
      <c r="H46" s="9" t="n">
        <v>9</v>
      </c>
      <c r="I46" s="9" t="n">
        <v>0</v>
      </c>
      <c r="J46" s="9" t="n">
        <v>0</v>
      </c>
      <c r="K46" s="9" t="n">
        <v>0</v>
      </c>
      <c r="L46" s="9" t="s">
        <v>160</v>
      </c>
    </row>
    <row r="47" customFormat="false" ht="15" hidden="false" customHeight="false" outlineLevel="0" collapsed="false">
      <c r="A47" s="9" t="s">
        <v>223</v>
      </c>
      <c r="B47" s="9" t="s">
        <v>224</v>
      </c>
      <c r="C47" s="9" t="n">
        <v>201</v>
      </c>
      <c r="D47" s="9" t="n">
        <v>7</v>
      </c>
      <c r="E47" s="9" t="n">
        <v>0</v>
      </c>
      <c r="F47" s="9" t="n">
        <v>8</v>
      </c>
      <c r="G47" s="9" t="n">
        <v>2</v>
      </c>
      <c r="H47" s="9" t="n">
        <v>12</v>
      </c>
      <c r="I47" s="9" t="n">
        <v>0</v>
      </c>
      <c r="J47" s="9" t="n">
        <v>0</v>
      </c>
      <c r="K47" s="9" t="n">
        <v>5</v>
      </c>
      <c r="L47" s="9" t="s">
        <v>160</v>
      </c>
    </row>
    <row r="48" customFormat="false" ht="15" hidden="false" customHeight="false" outlineLevel="0" collapsed="false">
      <c r="A48" s="9" t="s">
        <v>225</v>
      </c>
      <c r="B48" s="9" t="s">
        <v>226</v>
      </c>
      <c r="C48" s="9" t="n">
        <v>49</v>
      </c>
      <c r="D48" s="9" t="n">
        <v>6</v>
      </c>
      <c r="E48" s="9" t="n">
        <v>0</v>
      </c>
      <c r="F48" s="9" t="n">
        <v>7</v>
      </c>
      <c r="G48" s="9" t="n">
        <v>1</v>
      </c>
      <c r="H48" s="9" t="n">
        <v>8</v>
      </c>
      <c r="I48" s="9" t="n">
        <v>0</v>
      </c>
      <c r="J48" s="9" t="n">
        <v>0</v>
      </c>
      <c r="K48" s="9" t="n">
        <v>4</v>
      </c>
      <c r="L48" s="9" t="s">
        <v>160</v>
      </c>
    </row>
    <row r="49" customFormat="false" ht="15" hidden="false" customHeight="false" outlineLevel="0" collapsed="false">
      <c r="A49" s="9" t="s">
        <v>227</v>
      </c>
      <c r="B49" s="9" t="s">
        <v>228</v>
      </c>
      <c r="C49" s="9" t="n">
        <v>76</v>
      </c>
      <c r="D49" s="9" t="n">
        <v>2</v>
      </c>
      <c r="E49" s="9" t="n">
        <v>0</v>
      </c>
      <c r="F49" s="9" t="n">
        <v>7</v>
      </c>
      <c r="G49" s="9" t="n">
        <v>6</v>
      </c>
      <c r="H49" s="9" t="n">
        <v>19</v>
      </c>
      <c r="I49" s="9" t="n">
        <v>0</v>
      </c>
      <c r="J49" s="9" t="n">
        <v>0</v>
      </c>
      <c r="K49" s="9" t="n">
        <v>0</v>
      </c>
      <c r="L49" s="9" t="s">
        <v>160</v>
      </c>
    </row>
    <row r="50" customFormat="false" ht="15" hidden="false" customHeight="false" outlineLevel="0" collapsed="false">
      <c r="A50" s="9" t="s">
        <v>229</v>
      </c>
      <c r="B50" s="9" t="s">
        <v>230</v>
      </c>
      <c r="C50" s="9" t="n">
        <v>84</v>
      </c>
      <c r="D50" s="9" t="n">
        <v>3</v>
      </c>
      <c r="E50" s="9" t="n">
        <v>0</v>
      </c>
      <c r="F50" s="9" t="n">
        <v>6</v>
      </c>
      <c r="G50" s="9" t="n">
        <v>3</v>
      </c>
      <c r="H50" s="9" t="n">
        <v>2</v>
      </c>
      <c r="I50" s="9" t="n">
        <v>0</v>
      </c>
      <c r="J50" s="9" t="n">
        <v>0</v>
      </c>
      <c r="K50" s="9" t="n">
        <v>0</v>
      </c>
      <c r="L50" s="9" t="s">
        <v>160</v>
      </c>
    </row>
    <row r="51" customFormat="false" ht="15" hidden="false" customHeight="false" outlineLevel="0" collapsed="false">
      <c r="A51" s="9" t="s">
        <v>231</v>
      </c>
      <c r="B51" s="9" t="s">
        <v>73</v>
      </c>
      <c r="C51" s="9" t="n">
        <v>126</v>
      </c>
      <c r="D51" s="9" t="n">
        <v>4</v>
      </c>
      <c r="E51" s="9" t="n">
        <v>0</v>
      </c>
      <c r="F51" s="9" t="n">
        <v>5</v>
      </c>
      <c r="G51" s="9" t="n">
        <v>5</v>
      </c>
      <c r="H51" s="9" t="n">
        <v>0</v>
      </c>
      <c r="I51" s="9" t="n">
        <v>0</v>
      </c>
      <c r="J51" s="9" t="n">
        <v>0</v>
      </c>
      <c r="K51" s="9" t="n">
        <v>0</v>
      </c>
      <c r="L51" s="9" t="s">
        <v>160</v>
      </c>
    </row>
    <row r="52" customFormat="false" ht="15" hidden="false" customHeight="false" outlineLevel="0" collapsed="false">
      <c r="A52" s="9" t="s">
        <v>232</v>
      </c>
      <c r="B52" s="9" t="s">
        <v>233</v>
      </c>
      <c r="C52" s="9" t="n">
        <v>113</v>
      </c>
      <c r="D52" s="9" t="n">
        <v>4</v>
      </c>
      <c r="E52" s="9" t="n">
        <v>0</v>
      </c>
      <c r="F52" s="9" t="n">
        <v>5</v>
      </c>
      <c r="G52" s="9" t="n">
        <v>5</v>
      </c>
      <c r="H52" s="9" t="n">
        <v>0</v>
      </c>
      <c r="I52" s="9" t="n">
        <v>0</v>
      </c>
      <c r="J52" s="9" t="n">
        <v>0</v>
      </c>
      <c r="K52" s="9" t="n">
        <v>0</v>
      </c>
      <c r="L52" s="9" t="s">
        <v>160</v>
      </c>
    </row>
    <row r="53" customFormat="false" ht="15" hidden="false" customHeight="false" outlineLevel="0" collapsed="false">
      <c r="A53" s="9" t="s">
        <v>234</v>
      </c>
      <c r="B53" s="9" t="s">
        <v>235</v>
      </c>
      <c r="C53" s="9" t="n">
        <v>67</v>
      </c>
      <c r="D53" s="9" t="n">
        <v>3</v>
      </c>
      <c r="E53" s="9" t="n">
        <v>0</v>
      </c>
      <c r="F53" s="9" t="n">
        <v>4</v>
      </c>
      <c r="G53" s="9" t="n">
        <v>3</v>
      </c>
      <c r="H53" s="9" t="n">
        <v>1</v>
      </c>
      <c r="I53" s="9" t="n">
        <v>0</v>
      </c>
      <c r="J53" s="9" t="n">
        <v>0</v>
      </c>
      <c r="K53" s="9" t="n">
        <v>0</v>
      </c>
      <c r="L53" s="9" t="s">
        <v>160</v>
      </c>
    </row>
    <row r="54" customFormat="false" ht="15" hidden="false" customHeight="false" outlineLevel="0" collapsed="false">
      <c r="A54" s="9" t="s">
        <v>236</v>
      </c>
      <c r="B54" s="9" t="s">
        <v>237</v>
      </c>
      <c r="C54" s="9" t="n">
        <v>222</v>
      </c>
      <c r="D54" s="9" t="n">
        <v>2</v>
      </c>
      <c r="E54" s="9" t="n">
        <v>0</v>
      </c>
      <c r="F54" s="9" t="n">
        <v>2</v>
      </c>
      <c r="G54" s="9" t="n">
        <v>1</v>
      </c>
      <c r="H54" s="9" t="n">
        <v>0</v>
      </c>
      <c r="I54" s="9" t="n">
        <v>1</v>
      </c>
      <c r="J54" s="9" t="n">
        <v>0</v>
      </c>
      <c r="K54" s="9" t="n">
        <v>0</v>
      </c>
      <c r="L54" s="9" t="s">
        <v>160</v>
      </c>
    </row>
    <row r="55" customFormat="false" ht="15" hidden="false" customHeight="false" outlineLevel="0" collapsed="false">
      <c r="A55" s="9" t="s">
        <v>238</v>
      </c>
      <c r="B55" s="9" t="s">
        <v>41</v>
      </c>
      <c r="C55" s="9" t="n">
        <v>140</v>
      </c>
      <c r="D55" s="9" t="n">
        <v>0</v>
      </c>
      <c r="E55" s="9" t="n">
        <v>0</v>
      </c>
      <c r="F55" s="9" t="n">
        <v>0</v>
      </c>
      <c r="G55" s="9" t="n">
        <v>0</v>
      </c>
      <c r="H55" s="9" t="n">
        <v>0</v>
      </c>
      <c r="I55" s="9" t="n">
        <v>0</v>
      </c>
      <c r="J55" s="9" t="n">
        <v>8</v>
      </c>
      <c r="K55" s="9" t="n">
        <v>3</v>
      </c>
      <c r="L55" s="9" t="s">
        <v>160</v>
      </c>
    </row>
    <row r="56" customFormat="false" ht="15" hidden="false" customHeight="false" outlineLevel="0" collapsed="false">
      <c r="A56" s="9" t="s">
        <v>239</v>
      </c>
      <c r="B56" s="9"/>
      <c r="C56" s="9" t="n">
        <v>73</v>
      </c>
      <c r="D56" s="9" t="n">
        <v>0</v>
      </c>
      <c r="E56" s="9" t="n">
        <v>0</v>
      </c>
      <c r="F56" s="9" t="n">
        <v>0</v>
      </c>
      <c r="G56" s="9" t="n">
        <v>0</v>
      </c>
      <c r="H56" s="9" t="n">
        <v>0</v>
      </c>
      <c r="I56" s="9" t="n">
        <v>0</v>
      </c>
      <c r="J56" s="9" t="n">
        <v>1</v>
      </c>
      <c r="K56" s="9" t="n">
        <v>6</v>
      </c>
      <c r="L56" s="9" t="s">
        <v>160</v>
      </c>
    </row>
    <row r="57" customFormat="false" ht="15" hidden="false" customHeight="false" outlineLevel="0" collapsed="false">
      <c r="A57" s="9" t="s">
        <v>240</v>
      </c>
      <c r="B57" s="9" t="s">
        <v>241</v>
      </c>
      <c r="C57" s="9" t="n">
        <v>11</v>
      </c>
      <c r="D57" s="9" t="n">
        <v>0</v>
      </c>
      <c r="E57" s="9" t="n">
        <v>0</v>
      </c>
      <c r="F57" s="9" t="n">
        <v>0</v>
      </c>
      <c r="G57" s="9" t="n">
        <v>0</v>
      </c>
      <c r="H57" s="9" t="n">
        <v>0</v>
      </c>
      <c r="I57" s="9" t="n">
        <v>0</v>
      </c>
      <c r="J57" s="9" t="n">
        <v>0</v>
      </c>
      <c r="K57" s="9" t="n">
        <v>0</v>
      </c>
      <c r="L57" s="9" t="s">
        <v>160</v>
      </c>
    </row>
    <row r="58" customFormat="false" ht="15" hidden="false" customHeight="false" outlineLevel="0" collapsed="false">
      <c r="A58" s="9" t="s">
        <v>242</v>
      </c>
      <c r="B58" s="9" t="s">
        <v>243</v>
      </c>
      <c r="C58" s="9" t="n">
        <v>11</v>
      </c>
      <c r="D58" s="9" t="n">
        <v>0</v>
      </c>
      <c r="E58" s="9" t="n">
        <v>0</v>
      </c>
      <c r="F58" s="9" t="n">
        <v>0</v>
      </c>
      <c r="G58" s="9" t="n">
        <v>0</v>
      </c>
      <c r="H58" s="9" t="n">
        <v>0</v>
      </c>
      <c r="I58" s="9" t="n">
        <v>0</v>
      </c>
      <c r="J58" s="9" t="n">
        <v>0</v>
      </c>
      <c r="K58" s="9" t="n">
        <v>0</v>
      </c>
      <c r="L58" s="9" t="s">
        <v>160</v>
      </c>
    </row>
    <row r="59" customFormat="false" ht="15" hidden="false" customHeight="false" outlineLevel="0" collapsed="false">
      <c r="A59" s="9" t="s">
        <v>244</v>
      </c>
      <c r="B59" s="9"/>
      <c r="C59" s="9" t="n">
        <v>27</v>
      </c>
      <c r="D59" s="9" t="n">
        <v>0</v>
      </c>
      <c r="E59" s="9" t="n">
        <v>0</v>
      </c>
      <c r="F59" s="9" t="n">
        <v>0</v>
      </c>
      <c r="G59" s="9" t="n">
        <v>0</v>
      </c>
      <c r="H59" s="9" t="n">
        <v>0</v>
      </c>
      <c r="I59" s="9" t="n">
        <v>0</v>
      </c>
      <c r="J59" s="9" t="n">
        <v>0</v>
      </c>
      <c r="K59" s="9" t="n">
        <v>0</v>
      </c>
      <c r="L59" s="9" t="s">
        <v>160</v>
      </c>
    </row>
    <row r="60" customFormat="false" ht="15" hidden="false" customHeight="false" outlineLevel="0" collapsed="false">
      <c r="A60" s="9" t="s">
        <v>245</v>
      </c>
      <c r="B60" s="9" t="s">
        <v>246</v>
      </c>
      <c r="C60" s="9" t="n">
        <v>11</v>
      </c>
      <c r="D60" s="9" t="n">
        <v>0</v>
      </c>
      <c r="E60" s="9" t="n">
        <v>0</v>
      </c>
      <c r="F60" s="9" t="n">
        <v>0</v>
      </c>
      <c r="G60" s="9" t="n">
        <v>0</v>
      </c>
      <c r="H60" s="9" t="n">
        <v>0</v>
      </c>
      <c r="I60" s="9" t="n">
        <v>0</v>
      </c>
      <c r="J60" s="9" t="n">
        <v>0</v>
      </c>
      <c r="K60" s="9" t="n">
        <v>0</v>
      </c>
      <c r="L60" s="9" t="s">
        <v>160</v>
      </c>
    </row>
    <row r="61" customFormat="false" ht="15" hidden="false" customHeight="false" outlineLevel="0" collapsed="false">
      <c r="A61" s="9" t="s">
        <v>247</v>
      </c>
      <c r="B61" s="9" t="s">
        <v>248</v>
      </c>
      <c r="C61" s="9" t="n">
        <v>11</v>
      </c>
      <c r="D61" s="9" t="n">
        <v>0</v>
      </c>
      <c r="E61" s="9" t="n">
        <v>0</v>
      </c>
      <c r="F61" s="9" t="n">
        <v>0</v>
      </c>
      <c r="G61" s="9" t="n">
        <v>0</v>
      </c>
      <c r="H61" s="9" t="n">
        <v>0</v>
      </c>
      <c r="I61" s="9" t="n">
        <v>0</v>
      </c>
      <c r="J61" s="9" t="n">
        <v>0</v>
      </c>
      <c r="K61" s="9" t="n">
        <v>0</v>
      </c>
      <c r="L61" s="9" t="s">
        <v>160</v>
      </c>
    </row>
    <row r="62" customFormat="false" ht="15" hidden="false" customHeight="false" outlineLevel="0" collapsed="false">
      <c r="A62" s="9" t="s">
        <v>249</v>
      </c>
      <c r="B62" s="9" t="s">
        <v>250</v>
      </c>
      <c r="C62" s="9" t="n">
        <v>11</v>
      </c>
      <c r="D62" s="9" t="n">
        <v>0</v>
      </c>
      <c r="E62" s="9" t="n">
        <v>0</v>
      </c>
      <c r="F62" s="9" t="n">
        <v>0</v>
      </c>
      <c r="G62" s="9" t="n">
        <v>0</v>
      </c>
      <c r="H62" s="9" t="n">
        <v>0</v>
      </c>
      <c r="I62" s="9" t="n">
        <v>0</v>
      </c>
      <c r="J62" s="9" t="n">
        <v>0</v>
      </c>
      <c r="K62" s="9" t="n">
        <v>0</v>
      </c>
      <c r="L62" s="9" t="s">
        <v>160</v>
      </c>
    </row>
    <row r="63" customFormat="false" ht="15" hidden="false" customHeight="false" outlineLevel="0" collapsed="false">
      <c r="A63" s="9" t="s">
        <v>251</v>
      </c>
      <c r="B63" s="9"/>
      <c r="C63" s="9" t="n">
        <v>96</v>
      </c>
      <c r="D63" s="9" t="n">
        <v>0</v>
      </c>
      <c r="E63" s="9" t="n">
        <v>0</v>
      </c>
      <c r="F63" s="9" t="n">
        <v>0</v>
      </c>
      <c r="G63" s="9" t="n">
        <v>0</v>
      </c>
      <c r="H63" s="9" t="n">
        <v>0</v>
      </c>
      <c r="I63" s="9" t="n">
        <v>0</v>
      </c>
      <c r="J63" s="9" t="n">
        <v>0</v>
      </c>
      <c r="K63" s="9" t="n">
        <v>0</v>
      </c>
      <c r="L63" s="9" t="s">
        <v>160</v>
      </c>
    </row>
    <row r="64" customFormat="false" ht="15" hidden="false" customHeight="false" outlineLevel="0" collapsed="false">
      <c r="A64" s="9" t="s">
        <v>252</v>
      </c>
      <c r="B64" s="9"/>
      <c r="C64" s="9" t="n">
        <v>49</v>
      </c>
      <c r="D64" s="9" t="n">
        <v>0</v>
      </c>
      <c r="E64" s="9" t="n">
        <v>0</v>
      </c>
      <c r="F64" s="9" t="n">
        <v>0</v>
      </c>
      <c r="G64" s="9" t="n">
        <v>0</v>
      </c>
      <c r="H64" s="9" t="n">
        <v>0</v>
      </c>
      <c r="I64" s="9" t="n">
        <v>0</v>
      </c>
      <c r="J64" s="9" t="n">
        <v>0</v>
      </c>
      <c r="K64" s="9" t="n">
        <v>0</v>
      </c>
      <c r="L64" s="9" t="s">
        <v>160</v>
      </c>
    </row>
    <row r="65" customFormat="false" ht="15" hidden="false" customHeight="false" outlineLevel="0" collapsed="false">
      <c r="A65" s="9" t="s">
        <v>253</v>
      </c>
      <c r="B65" s="9"/>
      <c r="C65" s="9" t="n">
        <v>104</v>
      </c>
      <c r="D65" s="9" t="n">
        <v>0</v>
      </c>
      <c r="E65" s="9" t="n">
        <v>0</v>
      </c>
      <c r="F65" s="9" t="n">
        <v>0</v>
      </c>
      <c r="G65" s="9" t="n">
        <v>0</v>
      </c>
      <c r="H65" s="9" t="n">
        <v>0</v>
      </c>
      <c r="I65" s="9" t="n">
        <v>0</v>
      </c>
      <c r="J65" s="9" t="n">
        <v>0</v>
      </c>
      <c r="K65" s="9" t="n">
        <v>0</v>
      </c>
      <c r="L65" s="9" t="s">
        <v>160</v>
      </c>
    </row>
    <row r="66" customFormat="false" ht="15" hidden="false" customHeight="false" outlineLevel="0" collapsed="false">
      <c r="A66" s="9" t="s">
        <v>254</v>
      </c>
      <c r="B66" s="9" t="s">
        <v>255</v>
      </c>
      <c r="C66" s="9" t="n">
        <v>11</v>
      </c>
      <c r="D66" s="9" t="n">
        <v>0</v>
      </c>
      <c r="E66" s="9" t="n">
        <v>0</v>
      </c>
      <c r="F66" s="9" t="n">
        <v>0</v>
      </c>
      <c r="G66" s="9" t="n">
        <v>0</v>
      </c>
      <c r="H66" s="9" t="n">
        <v>0</v>
      </c>
      <c r="I66" s="9" t="n">
        <v>0</v>
      </c>
      <c r="J66" s="9" t="n">
        <v>0</v>
      </c>
      <c r="K66" s="9" t="n">
        <v>0</v>
      </c>
      <c r="L66" s="9" t="s">
        <v>160</v>
      </c>
    </row>
    <row r="67" customFormat="false" ht="15" hidden="false" customHeight="false" outlineLevel="0" collapsed="false">
      <c r="A67" s="9" t="s">
        <v>256</v>
      </c>
      <c r="B67" s="9" t="s">
        <v>257</v>
      </c>
      <c r="C67" s="9" t="n">
        <v>11</v>
      </c>
      <c r="D67" s="9" t="n">
        <v>0</v>
      </c>
      <c r="E67" s="9" t="n">
        <v>0</v>
      </c>
      <c r="F67" s="9" t="n">
        <v>0</v>
      </c>
      <c r="G67" s="9" t="n">
        <v>0</v>
      </c>
      <c r="H67" s="9" t="n">
        <v>0</v>
      </c>
      <c r="I67" s="9" t="n">
        <v>0</v>
      </c>
      <c r="J67" s="9" t="n">
        <v>0</v>
      </c>
      <c r="K67" s="9" t="n">
        <v>0</v>
      </c>
      <c r="L67" s="9" t="s">
        <v>160</v>
      </c>
    </row>
    <row r="68" customFormat="false" ht="15" hidden="false" customHeight="false" outlineLevel="0" collapsed="false">
      <c r="A68" s="9" t="s">
        <v>258</v>
      </c>
      <c r="B68" s="9" t="s">
        <v>259</v>
      </c>
      <c r="C68" s="9" t="n">
        <v>11</v>
      </c>
      <c r="D68" s="9" t="n">
        <v>0</v>
      </c>
      <c r="E68" s="9" t="n">
        <v>0</v>
      </c>
      <c r="F68" s="9" t="n">
        <v>0</v>
      </c>
      <c r="G68" s="9" t="n">
        <v>0</v>
      </c>
      <c r="H68" s="9" t="n">
        <v>0</v>
      </c>
      <c r="I68" s="9" t="n">
        <v>0</v>
      </c>
      <c r="J68" s="9" t="n">
        <v>0</v>
      </c>
      <c r="K68" s="9" t="n">
        <v>0</v>
      </c>
      <c r="L68" s="9" t="s">
        <v>160</v>
      </c>
    </row>
    <row r="69" customFormat="false" ht="15" hidden="false" customHeight="false" outlineLevel="0" collapsed="false">
      <c r="A69" s="9" t="s">
        <v>260</v>
      </c>
      <c r="B69" s="9" t="s">
        <v>261</v>
      </c>
      <c r="C69" s="9" t="n">
        <v>11</v>
      </c>
      <c r="D69" s="9" t="n">
        <v>0</v>
      </c>
      <c r="E69" s="9" t="n">
        <v>0</v>
      </c>
      <c r="F69" s="9" t="n">
        <v>0</v>
      </c>
      <c r="G69" s="9" t="n">
        <v>0</v>
      </c>
      <c r="H69" s="9" t="n">
        <v>0</v>
      </c>
      <c r="I69" s="9" t="n">
        <v>0</v>
      </c>
      <c r="J69" s="9" t="n">
        <v>0</v>
      </c>
      <c r="K69" s="9" t="n">
        <v>0</v>
      </c>
      <c r="L69" s="9" t="s">
        <v>160</v>
      </c>
    </row>
    <row r="70" customFormat="false" ht="15" hidden="false" customHeight="false" outlineLevel="0" collapsed="false">
      <c r="A70" s="9" t="s">
        <v>262</v>
      </c>
      <c r="B70" s="9"/>
      <c r="C70" s="9" t="n">
        <v>25</v>
      </c>
      <c r="D70" s="9" t="n">
        <v>0</v>
      </c>
      <c r="E70" s="9" t="n">
        <v>0</v>
      </c>
      <c r="F70" s="9" t="n">
        <v>0</v>
      </c>
      <c r="G70" s="9" t="n">
        <v>0</v>
      </c>
      <c r="H70" s="9" t="n">
        <v>0</v>
      </c>
      <c r="I70" s="9" t="n">
        <v>0</v>
      </c>
      <c r="J70" s="9" t="n">
        <v>0</v>
      </c>
      <c r="K70" s="9" t="n">
        <v>0</v>
      </c>
      <c r="L70" s="9" t="s">
        <v>160</v>
      </c>
    </row>
    <row r="71" customFormat="false" ht="15" hidden="false" customHeight="false" outlineLevel="0" collapsed="false">
      <c r="A71" s="9" t="s">
        <v>263</v>
      </c>
      <c r="B71" s="9" t="s">
        <v>264</v>
      </c>
      <c r="C71" s="9" t="n">
        <v>11</v>
      </c>
      <c r="D71" s="9" t="n">
        <v>0</v>
      </c>
      <c r="E71" s="9" t="n">
        <v>0</v>
      </c>
      <c r="F71" s="9" t="n">
        <v>0</v>
      </c>
      <c r="G71" s="9" t="n">
        <v>0</v>
      </c>
      <c r="H71" s="9" t="n">
        <v>0</v>
      </c>
      <c r="I71" s="9" t="n">
        <v>0</v>
      </c>
      <c r="J71" s="9" t="n">
        <v>0</v>
      </c>
      <c r="K71" s="9" t="n">
        <v>0</v>
      </c>
      <c r="L71" s="9" t="s">
        <v>160</v>
      </c>
    </row>
    <row r="72" customFormat="false" ht="15" hidden="false" customHeight="false" outlineLevel="0" collapsed="false">
      <c r="A72" s="9" t="s">
        <v>265</v>
      </c>
      <c r="B72" s="9"/>
      <c r="C72" s="9" t="n">
        <v>121</v>
      </c>
      <c r="D72" s="9" t="n">
        <v>0</v>
      </c>
      <c r="E72" s="9" t="n">
        <v>0</v>
      </c>
      <c r="F72" s="9" t="n">
        <v>0</v>
      </c>
      <c r="G72" s="9" t="n">
        <v>0</v>
      </c>
      <c r="H72" s="9" t="n">
        <v>0</v>
      </c>
      <c r="I72" s="9" t="n">
        <v>0</v>
      </c>
      <c r="J72" s="9" t="n">
        <v>0</v>
      </c>
      <c r="K72" s="9" t="n">
        <v>0</v>
      </c>
      <c r="L72" s="9" t="s">
        <v>160</v>
      </c>
    </row>
    <row r="73" customFormat="false" ht="15" hidden="false" customHeight="false" outlineLevel="0" collapsed="false">
      <c r="A73" s="9" t="s">
        <v>266</v>
      </c>
      <c r="B73" s="9" t="s">
        <v>267</v>
      </c>
      <c r="C73" s="9" t="n">
        <v>143</v>
      </c>
      <c r="D73" s="9" t="n">
        <v>0</v>
      </c>
      <c r="E73" s="9" t="n">
        <v>0</v>
      </c>
      <c r="F73" s="9" t="n">
        <v>0</v>
      </c>
      <c r="G73" s="9" t="n">
        <v>0</v>
      </c>
      <c r="H73" s="9" t="n">
        <v>0</v>
      </c>
      <c r="I73" s="9" t="n">
        <v>1</v>
      </c>
      <c r="J73" s="9" t="n">
        <v>0</v>
      </c>
      <c r="K73" s="9" t="n">
        <v>0</v>
      </c>
      <c r="L73" s="9" t="s">
        <v>160</v>
      </c>
    </row>
    <row r="74" customFormat="false" ht="15" hidden="false" customHeight="false" outlineLevel="0" collapsed="false">
      <c r="A74" s="9" t="s">
        <v>268</v>
      </c>
      <c r="B74" s="9" t="s">
        <v>269</v>
      </c>
      <c r="C74" s="9" t="n">
        <v>128</v>
      </c>
      <c r="D74" s="9" t="n">
        <v>0</v>
      </c>
      <c r="E74" s="9" t="n">
        <v>0</v>
      </c>
      <c r="F74" s="9" t="n">
        <v>0</v>
      </c>
      <c r="G74" s="9" t="n">
        <v>0</v>
      </c>
      <c r="H74" s="9" t="n">
        <v>0</v>
      </c>
      <c r="I74" s="9" t="n">
        <v>0</v>
      </c>
      <c r="J74" s="9" t="n">
        <v>21</v>
      </c>
      <c r="K74" s="9" t="n">
        <v>3</v>
      </c>
      <c r="L74" s="9" t="s">
        <v>270</v>
      </c>
    </row>
    <row r="75" customFormat="false" ht="15" hidden="false" customHeight="false" outlineLevel="0" collapsed="false">
      <c r="A75" s="9" t="s">
        <v>271</v>
      </c>
      <c r="B75" s="9" t="s">
        <v>272</v>
      </c>
      <c r="C75" s="9" t="n">
        <v>40</v>
      </c>
      <c r="D75" s="9" t="n">
        <v>0</v>
      </c>
      <c r="E75" s="9" t="n">
        <v>0</v>
      </c>
      <c r="F75" s="9" t="n">
        <v>0</v>
      </c>
      <c r="G75" s="9" t="n">
        <v>0</v>
      </c>
      <c r="H75" s="9" t="n">
        <v>0</v>
      </c>
      <c r="I75" s="9" t="n">
        <v>0</v>
      </c>
      <c r="J75" s="9" t="n">
        <v>7</v>
      </c>
      <c r="K75" s="9" t="n">
        <v>0</v>
      </c>
      <c r="L75" s="9" t="s">
        <v>160</v>
      </c>
    </row>
    <row r="76" customFormat="false" ht="15" hidden="false" customHeight="false" outlineLevel="0" collapsed="false">
      <c r="A76" s="9" t="s">
        <v>273</v>
      </c>
      <c r="B76" s="9" t="s">
        <v>274</v>
      </c>
      <c r="C76" s="9" t="n">
        <v>30</v>
      </c>
      <c r="D76" s="9" t="n">
        <v>0</v>
      </c>
      <c r="E76" s="9" t="n">
        <v>0</v>
      </c>
      <c r="F76" s="9" t="n">
        <v>0</v>
      </c>
      <c r="G76" s="9" t="n">
        <v>0</v>
      </c>
      <c r="H76" s="9" t="n">
        <v>0</v>
      </c>
      <c r="I76" s="9" t="n">
        <v>0</v>
      </c>
      <c r="J76" s="9" t="n">
        <v>0</v>
      </c>
      <c r="K76" s="9" t="n">
        <v>0</v>
      </c>
      <c r="L76" s="9" t="s">
        <v>160</v>
      </c>
    </row>
    <row r="77" customFormat="false" ht="15" hidden="false" customHeight="false" outlineLevel="0" collapsed="false">
      <c r="A77" s="9" t="s">
        <v>275</v>
      </c>
      <c r="B77" s="9"/>
      <c r="C77" s="9" t="n">
        <v>241</v>
      </c>
      <c r="D77" s="9" t="n">
        <v>0</v>
      </c>
      <c r="E77" s="9" t="n">
        <v>0</v>
      </c>
      <c r="F77" s="9" t="n">
        <v>0</v>
      </c>
      <c r="G77" s="9" t="n">
        <v>0</v>
      </c>
      <c r="H77" s="9" t="n">
        <v>0</v>
      </c>
      <c r="I77" s="9" t="n">
        <v>0</v>
      </c>
      <c r="J77" s="9" t="n">
        <v>1</v>
      </c>
      <c r="K77" s="9" t="n">
        <v>0</v>
      </c>
      <c r="L77" s="9"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34"/>
    <col collapsed="false" customWidth="true" hidden="false" outlineLevel="0" max="4" min="4" style="0" width="48"/>
    <col collapsed="false" customWidth="true" hidden="false" outlineLevel="0" max="5" min="5" style="0" width="12"/>
  </cols>
  <sheetData>
    <row r="1" customFormat="false" ht="15" hidden="false" customHeight="false" outlineLevel="0" collapsed="false">
      <c r="A1" s="2" t="s">
        <v>276</v>
      </c>
    </row>
    <row r="3" customFormat="false" ht="46.25" hidden="false" customHeight="false" outlineLevel="0" collapsed="false">
      <c r="A3" s="8" t="s">
        <v>149</v>
      </c>
      <c r="B3" s="8" t="s">
        <v>277</v>
      </c>
      <c r="C3" s="8" t="s">
        <v>278</v>
      </c>
      <c r="D3" s="8" t="s">
        <v>3</v>
      </c>
      <c r="E3" s="8" t="s">
        <v>279</v>
      </c>
    </row>
    <row r="4" customFormat="false" ht="15" hidden="false" customHeight="false" outlineLevel="0" collapsed="false">
      <c r="A4" s="9" t="s">
        <v>280</v>
      </c>
      <c r="B4" s="9" t="s">
        <v>281</v>
      </c>
      <c r="C4" s="9" t="s">
        <v>282</v>
      </c>
      <c r="D4" s="9" t="s">
        <v>283</v>
      </c>
      <c r="E4" s="9" t="n">
        <v>0</v>
      </c>
    </row>
    <row r="5" customFormat="false" ht="15" hidden="false" customHeight="false" outlineLevel="0" collapsed="false">
      <c r="A5" s="9" t="s">
        <v>280</v>
      </c>
      <c r="B5" s="9" t="s">
        <v>281</v>
      </c>
      <c r="C5" s="9" t="s">
        <v>284</v>
      </c>
      <c r="D5" s="9" t="s">
        <v>285</v>
      </c>
      <c r="E5" s="9" t="n">
        <v>0</v>
      </c>
    </row>
    <row r="6" customFormat="false" ht="15" hidden="false" customHeight="false" outlineLevel="0" collapsed="false">
      <c r="A6" s="9" t="s">
        <v>280</v>
      </c>
      <c r="B6" s="9" t="s">
        <v>281</v>
      </c>
      <c r="C6" s="9" t="s">
        <v>286</v>
      </c>
      <c r="D6" s="9" t="s">
        <v>287</v>
      </c>
      <c r="E6" s="9" t="n">
        <v>0</v>
      </c>
    </row>
    <row r="7" customFormat="false" ht="23.85" hidden="false" customHeight="false" outlineLevel="0" collapsed="false">
      <c r="A7" s="9" t="s">
        <v>280</v>
      </c>
      <c r="B7" s="9" t="s">
        <v>281</v>
      </c>
      <c r="C7" s="9" t="s">
        <v>288</v>
      </c>
      <c r="D7" s="9" t="s">
        <v>289</v>
      </c>
      <c r="E7" s="9" t="n">
        <v>34</v>
      </c>
    </row>
    <row r="8" customFormat="false" ht="23.85" hidden="false" customHeight="false" outlineLevel="0" collapsed="false">
      <c r="A8" s="9" t="s">
        <v>280</v>
      </c>
      <c r="B8" s="9" t="s">
        <v>281</v>
      </c>
      <c r="C8" s="9" t="s">
        <v>290</v>
      </c>
      <c r="D8" s="9" t="s">
        <v>291</v>
      </c>
      <c r="E8" s="9" t="n">
        <v>0</v>
      </c>
    </row>
    <row r="9" customFormat="false" ht="15" hidden="false" customHeight="false" outlineLevel="0" collapsed="false">
      <c r="A9" s="9" t="s">
        <v>280</v>
      </c>
      <c r="B9" s="9" t="s">
        <v>281</v>
      </c>
      <c r="C9" s="9" t="s">
        <v>292</v>
      </c>
      <c r="D9" s="9" t="s">
        <v>293</v>
      </c>
      <c r="E9" s="9" t="n">
        <v>0</v>
      </c>
    </row>
    <row r="10" customFormat="false" ht="15" hidden="false" customHeight="false" outlineLevel="0" collapsed="false">
      <c r="A10" s="9" t="s">
        <v>280</v>
      </c>
      <c r="B10" s="9" t="s">
        <v>281</v>
      </c>
      <c r="C10" s="9" t="s">
        <v>294</v>
      </c>
      <c r="D10" s="9" t="s">
        <v>295</v>
      </c>
      <c r="E10" s="9" t="n">
        <v>0</v>
      </c>
    </row>
    <row r="11" customFormat="false" ht="15" hidden="false" customHeight="false" outlineLevel="0" collapsed="false">
      <c r="A11" s="9" t="s">
        <v>280</v>
      </c>
      <c r="B11" s="9" t="s">
        <v>281</v>
      </c>
      <c r="C11" s="9" t="s">
        <v>296</v>
      </c>
      <c r="D11" s="9" t="s">
        <v>297</v>
      </c>
      <c r="E11" s="9" t="n">
        <v>0</v>
      </c>
    </row>
    <row r="12" customFormat="false" ht="15" hidden="false" customHeight="false" outlineLevel="0" collapsed="false">
      <c r="A12" s="9" t="s">
        <v>280</v>
      </c>
      <c r="B12" s="9" t="s">
        <v>281</v>
      </c>
      <c r="C12" s="9" t="s">
        <v>298</v>
      </c>
      <c r="D12" s="9" t="s">
        <v>299</v>
      </c>
      <c r="E12" s="9" t="n">
        <v>0</v>
      </c>
    </row>
    <row r="13" customFormat="false" ht="15" hidden="false" customHeight="false" outlineLevel="0" collapsed="false">
      <c r="A13" s="9" t="s">
        <v>280</v>
      </c>
      <c r="B13" s="9" t="s">
        <v>281</v>
      </c>
      <c r="C13" s="9" t="s">
        <v>300</v>
      </c>
      <c r="D13" s="9" t="s">
        <v>301</v>
      </c>
      <c r="E13" s="9" t="n">
        <v>0</v>
      </c>
    </row>
    <row r="14" customFormat="false" ht="15" hidden="false" customHeight="false" outlineLevel="0" collapsed="false">
      <c r="A14" s="9" t="s">
        <v>280</v>
      </c>
      <c r="B14" s="9" t="s">
        <v>281</v>
      </c>
      <c r="C14" s="9" t="s">
        <v>302</v>
      </c>
      <c r="D14" s="9" t="s">
        <v>303</v>
      </c>
      <c r="E14" s="9" t="n">
        <v>0</v>
      </c>
    </row>
    <row r="15" customFormat="false" ht="15" hidden="false" customHeight="false" outlineLevel="0" collapsed="false">
      <c r="A15" s="9" t="s">
        <v>280</v>
      </c>
      <c r="B15" s="9" t="s">
        <v>281</v>
      </c>
      <c r="C15" s="9" t="s">
        <v>304</v>
      </c>
      <c r="D15" s="9" t="s">
        <v>305</v>
      </c>
      <c r="E15" s="9" t="n">
        <v>0</v>
      </c>
    </row>
    <row r="16" customFormat="false" ht="15" hidden="false" customHeight="false" outlineLevel="0" collapsed="false">
      <c r="A16" s="9" t="s">
        <v>280</v>
      </c>
      <c r="B16" s="9" t="s">
        <v>281</v>
      </c>
      <c r="C16" s="9" t="s">
        <v>306</v>
      </c>
      <c r="D16" s="9" t="s">
        <v>307</v>
      </c>
      <c r="E16" s="9" t="n">
        <v>0</v>
      </c>
    </row>
    <row r="17" customFormat="false" ht="15" hidden="false" customHeight="false" outlineLevel="0" collapsed="false">
      <c r="A17" s="9" t="s">
        <v>280</v>
      </c>
      <c r="B17" s="9" t="s">
        <v>281</v>
      </c>
      <c r="C17" s="9" t="s">
        <v>308</v>
      </c>
      <c r="D17" s="9" t="s">
        <v>309</v>
      </c>
      <c r="E17" s="9" t="n">
        <v>0</v>
      </c>
    </row>
    <row r="18" customFormat="false" ht="15" hidden="false" customHeight="false" outlineLevel="0" collapsed="false">
      <c r="A18" s="9" t="s">
        <v>280</v>
      </c>
      <c r="B18" s="9" t="s">
        <v>281</v>
      </c>
      <c r="C18" s="9" t="s">
        <v>310</v>
      </c>
      <c r="D18" s="9" t="s">
        <v>311</v>
      </c>
      <c r="E18" s="9" t="n">
        <v>0</v>
      </c>
    </row>
    <row r="19" customFormat="false" ht="15" hidden="false" customHeight="false" outlineLevel="0" collapsed="false">
      <c r="A19" s="9" t="s">
        <v>280</v>
      </c>
      <c r="B19" s="9" t="s">
        <v>281</v>
      </c>
      <c r="C19" s="9" t="s">
        <v>312</v>
      </c>
      <c r="D19" s="9" t="s">
        <v>313</v>
      </c>
      <c r="E19" s="9" t="n">
        <v>0</v>
      </c>
    </row>
    <row r="20" customFormat="false" ht="15" hidden="false" customHeight="false" outlineLevel="0" collapsed="false">
      <c r="A20" s="9" t="s">
        <v>280</v>
      </c>
      <c r="B20" s="9" t="s">
        <v>281</v>
      </c>
      <c r="C20" s="9" t="s">
        <v>314</v>
      </c>
      <c r="D20" s="9" t="s">
        <v>315</v>
      </c>
      <c r="E20" s="9" t="n">
        <v>0</v>
      </c>
    </row>
    <row r="21" customFormat="false" ht="15" hidden="false" customHeight="false" outlineLevel="0" collapsed="false">
      <c r="A21" s="9" t="s">
        <v>280</v>
      </c>
      <c r="B21" s="9" t="s">
        <v>281</v>
      </c>
      <c r="C21" s="9" t="s">
        <v>316</v>
      </c>
      <c r="D21" s="9" t="s">
        <v>317</v>
      </c>
      <c r="E21" s="9" t="n">
        <v>0</v>
      </c>
    </row>
    <row r="22" customFormat="false" ht="15" hidden="false" customHeight="false" outlineLevel="0" collapsed="false">
      <c r="A22" s="9" t="s">
        <v>280</v>
      </c>
      <c r="B22" s="9" t="s">
        <v>281</v>
      </c>
      <c r="C22" s="9" t="s">
        <v>318</v>
      </c>
      <c r="D22" s="9" t="s">
        <v>319</v>
      </c>
      <c r="E22" s="9" t="n">
        <v>0</v>
      </c>
    </row>
    <row r="23" customFormat="false" ht="15" hidden="false" customHeight="false" outlineLevel="0" collapsed="false">
      <c r="A23" s="9" t="s">
        <v>280</v>
      </c>
      <c r="B23" s="9" t="s">
        <v>281</v>
      </c>
      <c r="C23" s="9" t="s">
        <v>320</v>
      </c>
      <c r="D23" s="9" t="s">
        <v>321</v>
      </c>
      <c r="E23" s="9" t="n">
        <v>0</v>
      </c>
    </row>
    <row r="24" customFormat="false" ht="15" hidden="false" customHeight="false" outlineLevel="0" collapsed="false">
      <c r="A24" s="9" t="s">
        <v>280</v>
      </c>
      <c r="B24" s="9" t="s">
        <v>281</v>
      </c>
      <c r="C24" s="9" t="s">
        <v>322</v>
      </c>
      <c r="D24" s="9" t="s">
        <v>323</v>
      </c>
      <c r="E24" s="9" t="n">
        <v>0</v>
      </c>
    </row>
    <row r="25" customFormat="false" ht="15" hidden="false" customHeight="false" outlineLevel="0" collapsed="false">
      <c r="A25" s="9" t="s">
        <v>280</v>
      </c>
      <c r="B25" s="9" t="s">
        <v>281</v>
      </c>
      <c r="C25" s="9" t="s">
        <v>324</v>
      </c>
      <c r="D25" s="9" t="s">
        <v>325</v>
      </c>
      <c r="E25" s="9" t="n">
        <v>0</v>
      </c>
    </row>
    <row r="26" customFormat="false" ht="15" hidden="false" customHeight="false" outlineLevel="0" collapsed="false">
      <c r="A26" s="9" t="s">
        <v>280</v>
      </c>
      <c r="B26" s="9" t="s">
        <v>281</v>
      </c>
      <c r="C26" s="9" t="s">
        <v>326</v>
      </c>
      <c r="D26" s="9" t="s">
        <v>327</v>
      </c>
      <c r="E26" s="9" t="n">
        <v>0</v>
      </c>
    </row>
    <row r="27" customFormat="false" ht="15" hidden="false" customHeight="false" outlineLevel="0" collapsed="false">
      <c r="A27" s="9" t="s">
        <v>280</v>
      </c>
      <c r="B27" s="9" t="s">
        <v>281</v>
      </c>
      <c r="C27" s="9" t="s">
        <v>328</v>
      </c>
      <c r="D27" s="9" t="s">
        <v>329</v>
      </c>
      <c r="E27" s="9" t="n">
        <v>0</v>
      </c>
    </row>
    <row r="28" customFormat="false" ht="15" hidden="false" customHeight="false" outlineLevel="0" collapsed="false">
      <c r="A28" s="9" t="s">
        <v>280</v>
      </c>
      <c r="B28" s="9" t="s">
        <v>281</v>
      </c>
      <c r="C28" s="9" t="s">
        <v>330</v>
      </c>
      <c r="D28" s="9" t="s">
        <v>331</v>
      </c>
      <c r="E28" s="9" t="n">
        <v>0</v>
      </c>
    </row>
    <row r="29" customFormat="false" ht="15" hidden="false" customHeight="false" outlineLevel="0" collapsed="false">
      <c r="A29" s="9" t="s">
        <v>280</v>
      </c>
      <c r="B29" s="9" t="s">
        <v>281</v>
      </c>
      <c r="C29" s="9" t="s">
        <v>332</v>
      </c>
      <c r="D29" s="9" t="s">
        <v>333</v>
      </c>
      <c r="E29" s="9" t="n">
        <v>0</v>
      </c>
    </row>
    <row r="30" customFormat="false" ht="15" hidden="false" customHeight="false" outlineLevel="0" collapsed="false">
      <c r="A30" s="9" t="s">
        <v>280</v>
      </c>
      <c r="B30" s="9" t="s">
        <v>281</v>
      </c>
      <c r="C30" s="9" t="s">
        <v>334</v>
      </c>
      <c r="D30" s="9" t="s">
        <v>335</v>
      </c>
      <c r="E30" s="9" t="n">
        <v>0</v>
      </c>
    </row>
    <row r="31" customFormat="false" ht="15" hidden="false" customHeight="false" outlineLevel="0" collapsed="false">
      <c r="A31" s="9" t="s">
        <v>280</v>
      </c>
      <c r="B31" s="9" t="s">
        <v>281</v>
      </c>
      <c r="C31" s="9" t="s">
        <v>336</v>
      </c>
      <c r="D31" s="9" t="s">
        <v>337</v>
      </c>
      <c r="E31" s="9" t="n">
        <v>0</v>
      </c>
    </row>
    <row r="32" customFormat="false" ht="15" hidden="false" customHeight="false" outlineLevel="0" collapsed="false">
      <c r="A32" s="9" t="s">
        <v>280</v>
      </c>
      <c r="B32" s="9" t="s">
        <v>281</v>
      </c>
      <c r="C32" s="9" t="s">
        <v>338</v>
      </c>
      <c r="D32" s="9" t="s">
        <v>339</v>
      </c>
      <c r="E32" s="9" t="n">
        <v>0</v>
      </c>
    </row>
    <row r="33" customFormat="false" ht="15" hidden="false" customHeight="false" outlineLevel="0" collapsed="false">
      <c r="A33" s="9" t="s">
        <v>280</v>
      </c>
      <c r="B33" s="9" t="s">
        <v>281</v>
      </c>
      <c r="C33" s="9" t="s">
        <v>340</v>
      </c>
      <c r="D33" s="9" t="s">
        <v>341</v>
      </c>
      <c r="E33" s="9" t="n">
        <v>0</v>
      </c>
    </row>
    <row r="34" customFormat="false" ht="15" hidden="false" customHeight="false" outlineLevel="0" collapsed="false">
      <c r="A34" s="9" t="s">
        <v>280</v>
      </c>
      <c r="B34" s="9" t="s">
        <v>281</v>
      </c>
      <c r="C34" s="9" t="s">
        <v>342</v>
      </c>
      <c r="D34" s="9" t="s">
        <v>343</v>
      </c>
      <c r="E34" s="9" t="n">
        <v>0</v>
      </c>
    </row>
    <row r="35" customFormat="false" ht="15" hidden="false" customHeight="false" outlineLevel="0" collapsed="false">
      <c r="A35" s="9" t="s">
        <v>280</v>
      </c>
      <c r="B35" s="9" t="s">
        <v>281</v>
      </c>
      <c r="C35" s="9" t="s">
        <v>344</v>
      </c>
      <c r="D35" s="9" t="s">
        <v>345</v>
      </c>
      <c r="E35" s="9" t="n">
        <v>0</v>
      </c>
    </row>
    <row r="36" customFormat="false" ht="15" hidden="false" customHeight="false" outlineLevel="0" collapsed="false">
      <c r="A36" s="9" t="s">
        <v>280</v>
      </c>
      <c r="B36" s="9" t="s">
        <v>281</v>
      </c>
      <c r="C36" s="9" t="s">
        <v>346</v>
      </c>
      <c r="D36" s="9" t="s">
        <v>347</v>
      </c>
      <c r="E36" s="9" t="n">
        <v>0</v>
      </c>
    </row>
    <row r="37" customFormat="false" ht="15" hidden="false" customHeight="false" outlineLevel="0" collapsed="false">
      <c r="A37" s="9" t="s">
        <v>280</v>
      </c>
      <c r="B37" s="9" t="s">
        <v>281</v>
      </c>
      <c r="C37" s="9" t="s">
        <v>348</v>
      </c>
      <c r="D37" s="9" t="s">
        <v>349</v>
      </c>
      <c r="E37" s="9" t="n">
        <v>0</v>
      </c>
    </row>
    <row r="38" customFormat="false" ht="15" hidden="false" customHeight="false" outlineLevel="0" collapsed="false">
      <c r="A38" s="9" t="s">
        <v>280</v>
      </c>
      <c r="B38" s="9" t="s">
        <v>281</v>
      </c>
      <c r="C38" s="9" t="s">
        <v>350</v>
      </c>
      <c r="D38" s="9" t="s">
        <v>351</v>
      </c>
      <c r="E38" s="9" t="n">
        <v>0</v>
      </c>
    </row>
    <row r="39" customFormat="false" ht="15" hidden="false" customHeight="false" outlineLevel="0" collapsed="false">
      <c r="A39" s="9" t="s">
        <v>280</v>
      </c>
      <c r="B39" s="9" t="s">
        <v>281</v>
      </c>
      <c r="C39" s="9" t="s">
        <v>352</v>
      </c>
      <c r="D39" s="9" t="s">
        <v>353</v>
      </c>
      <c r="E39" s="9" t="n">
        <v>0</v>
      </c>
    </row>
    <row r="40" customFormat="false" ht="15" hidden="false" customHeight="false" outlineLevel="0" collapsed="false">
      <c r="A40" s="9" t="s">
        <v>280</v>
      </c>
      <c r="B40" s="9" t="s">
        <v>281</v>
      </c>
      <c r="C40" s="9" t="s">
        <v>354</v>
      </c>
      <c r="D40" s="9" t="s">
        <v>355</v>
      </c>
      <c r="E40" s="9" t="n">
        <v>0</v>
      </c>
    </row>
    <row r="41" customFormat="false" ht="15" hidden="false" customHeight="false" outlineLevel="0" collapsed="false">
      <c r="A41" s="9" t="s">
        <v>280</v>
      </c>
      <c r="B41" s="9" t="s">
        <v>281</v>
      </c>
      <c r="C41" s="9" t="s">
        <v>356</v>
      </c>
      <c r="D41" s="9" t="s">
        <v>357</v>
      </c>
      <c r="E41" s="9" t="n">
        <v>0</v>
      </c>
    </row>
    <row r="42" customFormat="false" ht="15" hidden="false" customHeight="false" outlineLevel="0" collapsed="false">
      <c r="A42" s="9" t="s">
        <v>280</v>
      </c>
      <c r="B42" s="9" t="s">
        <v>281</v>
      </c>
      <c r="C42" s="9" t="s">
        <v>358</v>
      </c>
      <c r="D42" s="9" t="s">
        <v>359</v>
      </c>
      <c r="E42" s="9" t="n">
        <v>37</v>
      </c>
    </row>
    <row r="43" customFormat="false" ht="15" hidden="false" customHeight="false" outlineLevel="0" collapsed="false">
      <c r="A43" s="9" t="s">
        <v>280</v>
      </c>
      <c r="B43" s="9" t="s">
        <v>281</v>
      </c>
      <c r="C43" s="9" t="s">
        <v>360</v>
      </c>
      <c r="D43" s="9" t="s">
        <v>361</v>
      </c>
      <c r="E43" s="9" t="n">
        <v>23</v>
      </c>
    </row>
    <row r="44" customFormat="false" ht="15" hidden="false" customHeight="false" outlineLevel="0" collapsed="false">
      <c r="A44" s="9" t="s">
        <v>280</v>
      </c>
      <c r="B44" s="9" t="s">
        <v>281</v>
      </c>
      <c r="C44" s="9" t="s">
        <v>362</v>
      </c>
      <c r="D44" s="9" t="s">
        <v>363</v>
      </c>
      <c r="E44" s="9" t="n">
        <v>0</v>
      </c>
    </row>
    <row r="45" customFormat="false" ht="15" hidden="false" customHeight="false" outlineLevel="0" collapsed="false">
      <c r="A45" s="9" t="s">
        <v>280</v>
      </c>
      <c r="B45" s="9" t="s">
        <v>281</v>
      </c>
      <c r="C45" s="9" t="s">
        <v>364</v>
      </c>
      <c r="D45" s="9" t="s">
        <v>365</v>
      </c>
      <c r="E45" s="9" t="n">
        <v>13</v>
      </c>
    </row>
    <row r="46" customFormat="false" ht="15" hidden="false" customHeight="false" outlineLevel="0" collapsed="false">
      <c r="A46" s="9" t="s">
        <v>280</v>
      </c>
      <c r="B46" s="9" t="s">
        <v>281</v>
      </c>
      <c r="C46" s="9" t="s">
        <v>366</v>
      </c>
      <c r="D46" s="9" t="s">
        <v>367</v>
      </c>
      <c r="E46" s="9" t="n">
        <v>0</v>
      </c>
    </row>
    <row r="47" customFormat="false" ht="23.85" hidden="false" customHeight="false" outlineLevel="0" collapsed="false">
      <c r="A47" s="9" t="s">
        <v>280</v>
      </c>
      <c r="B47" s="9" t="s">
        <v>281</v>
      </c>
      <c r="C47" s="9" t="s">
        <v>368</v>
      </c>
      <c r="D47" s="9" t="s">
        <v>369</v>
      </c>
      <c r="E47" s="9" t="n">
        <v>0</v>
      </c>
    </row>
    <row r="48" customFormat="false" ht="23.85" hidden="false" customHeight="false" outlineLevel="0" collapsed="false">
      <c r="A48" s="9" t="s">
        <v>280</v>
      </c>
      <c r="B48" s="9" t="s">
        <v>281</v>
      </c>
      <c r="C48" s="9" t="s">
        <v>370</v>
      </c>
      <c r="D48" s="9" t="s">
        <v>371</v>
      </c>
      <c r="E48" s="9" t="n">
        <v>0</v>
      </c>
    </row>
    <row r="49" customFormat="false" ht="15" hidden="false" customHeight="false" outlineLevel="0" collapsed="false">
      <c r="A49" s="9" t="s">
        <v>280</v>
      </c>
      <c r="B49" s="9" t="s">
        <v>281</v>
      </c>
      <c r="C49" s="9" t="s">
        <v>372</v>
      </c>
      <c r="D49" s="9" t="s">
        <v>373</v>
      </c>
      <c r="E49" s="9" t="n">
        <v>0</v>
      </c>
    </row>
    <row r="50" customFormat="false" ht="15" hidden="false" customHeight="false" outlineLevel="0" collapsed="false">
      <c r="A50" s="9" t="s">
        <v>280</v>
      </c>
      <c r="B50" s="9" t="s">
        <v>281</v>
      </c>
      <c r="C50" s="9" t="s">
        <v>374</v>
      </c>
      <c r="D50" s="9" t="s">
        <v>375</v>
      </c>
      <c r="E50" s="9" t="n">
        <v>0</v>
      </c>
    </row>
    <row r="51" customFormat="false" ht="15" hidden="false" customHeight="false" outlineLevel="0" collapsed="false">
      <c r="A51" s="9" t="s">
        <v>280</v>
      </c>
      <c r="B51" s="9" t="s">
        <v>281</v>
      </c>
      <c r="C51" s="9" t="s">
        <v>376</v>
      </c>
      <c r="D51" s="9" t="s">
        <v>377</v>
      </c>
      <c r="E51" s="9" t="n">
        <v>0</v>
      </c>
    </row>
    <row r="52" customFormat="false" ht="15" hidden="false" customHeight="false" outlineLevel="0" collapsed="false">
      <c r="A52" s="9" t="s">
        <v>280</v>
      </c>
      <c r="B52" s="9" t="s">
        <v>281</v>
      </c>
      <c r="C52" s="9" t="s">
        <v>378</v>
      </c>
      <c r="D52" s="9" t="s">
        <v>379</v>
      </c>
      <c r="E52" s="9" t="n">
        <v>0</v>
      </c>
    </row>
    <row r="53" customFormat="false" ht="15" hidden="false" customHeight="false" outlineLevel="0" collapsed="false">
      <c r="A53" s="9" t="s">
        <v>280</v>
      </c>
      <c r="B53" s="9" t="s">
        <v>281</v>
      </c>
      <c r="C53" s="9" t="s">
        <v>380</v>
      </c>
      <c r="D53" s="9" t="s">
        <v>381</v>
      </c>
      <c r="E53" s="9" t="n">
        <v>0</v>
      </c>
    </row>
    <row r="54" customFormat="false" ht="15" hidden="false" customHeight="false" outlineLevel="0" collapsed="false">
      <c r="A54" s="9" t="s">
        <v>280</v>
      </c>
      <c r="B54" s="9" t="s">
        <v>281</v>
      </c>
      <c r="C54" s="9" t="s">
        <v>382</v>
      </c>
      <c r="D54" s="9" t="s">
        <v>383</v>
      </c>
      <c r="E54" s="9" t="n">
        <v>0</v>
      </c>
    </row>
    <row r="55" customFormat="false" ht="15" hidden="false" customHeight="false" outlineLevel="0" collapsed="false">
      <c r="A55" s="9" t="s">
        <v>280</v>
      </c>
      <c r="B55" s="9" t="s">
        <v>281</v>
      </c>
      <c r="C55" s="9" t="s">
        <v>384</v>
      </c>
      <c r="D55" s="9" t="s">
        <v>385</v>
      </c>
      <c r="E55" s="9" t="n">
        <v>0</v>
      </c>
    </row>
    <row r="56" customFormat="false" ht="15" hidden="false" customHeight="false" outlineLevel="0" collapsed="false">
      <c r="A56" s="9" t="s">
        <v>280</v>
      </c>
      <c r="B56" s="9" t="s">
        <v>281</v>
      </c>
      <c r="C56" s="9" t="s">
        <v>386</v>
      </c>
      <c r="D56" s="9" t="s">
        <v>387</v>
      </c>
      <c r="E56" s="9" t="n">
        <v>0</v>
      </c>
    </row>
    <row r="57" customFormat="false" ht="15" hidden="false" customHeight="false" outlineLevel="0" collapsed="false">
      <c r="A57" s="9" t="s">
        <v>280</v>
      </c>
      <c r="B57" s="9" t="s">
        <v>281</v>
      </c>
      <c r="C57" s="9" t="s">
        <v>388</v>
      </c>
      <c r="D57" s="9" t="s">
        <v>389</v>
      </c>
      <c r="E57" s="9" t="n">
        <v>0</v>
      </c>
    </row>
    <row r="58" customFormat="false" ht="15" hidden="false" customHeight="false" outlineLevel="0" collapsed="false">
      <c r="A58" s="9" t="s">
        <v>280</v>
      </c>
      <c r="B58" s="9" t="s">
        <v>281</v>
      </c>
      <c r="C58" s="9" t="s">
        <v>390</v>
      </c>
      <c r="D58" s="9" t="s">
        <v>391</v>
      </c>
      <c r="E58" s="9" t="n">
        <v>0</v>
      </c>
    </row>
    <row r="59" customFormat="false" ht="15" hidden="false" customHeight="false" outlineLevel="0" collapsed="false">
      <c r="A59" s="9" t="s">
        <v>280</v>
      </c>
      <c r="B59" s="9" t="s">
        <v>281</v>
      </c>
      <c r="C59" s="9" t="s">
        <v>392</v>
      </c>
      <c r="D59" s="9" t="s">
        <v>393</v>
      </c>
      <c r="E59" s="9" t="n">
        <v>0</v>
      </c>
    </row>
    <row r="60" customFormat="false" ht="15" hidden="false" customHeight="false" outlineLevel="0" collapsed="false">
      <c r="A60" s="9" t="s">
        <v>280</v>
      </c>
      <c r="B60" s="9" t="s">
        <v>281</v>
      </c>
      <c r="C60" s="9" t="s">
        <v>394</v>
      </c>
      <c r="D60" s="9" t="s">
        <v>395</v>
      </c>
      <c r="E60" s="9" t="n">
        <v>0</v>
      </c>
    </row>
    <row r="61" customFormat="false" ht="15" hidden="false" customHeight="false" outlineLevel="0" collapsed="false">
      <c r="A61" s="9" t="s">
        <v>280</v>
      </c>
      <c r="B61" s="9" t="s">
        <v>281</v>
      </c>
      <c r="C61" s="9" t="s">
        <v>396</v>
      </c>
      <c r="D61" s="9" t="s">
        <v>397</v>
      </c>
      <c r="E61" s="9" t="n">
        <v>0</v>
      </c>
    </row>
    <row r="62" customFormat="false" ht="15" hidden="false" customHeight="false" outlineLevel="0" collapsed="false">
      <c r="A62" s="9" t="s">
        <v>280</v>
      </c>
      <c r="B62" s="9" t="s">
        <v>281</v>
      </c>
      <c r="C62" s="9" t="s">
        <v>398</v>
      </c>
      <c r="D62" s="9" t="s">
        <v>399</v>
      </c>
      <c r="E62" s="9" t="n">
        <v>0</v>
      </c>
    </row>
    <row r="63" customFormat="false" ht="15" hidden="false" customHeight="false" outlineLevel="0" collapsed="false">
      <c r="A63" s="9" t="s">
        <v>280</v>
      </c>
      <c r="B63" s="9" t="s">
        <v>281</v>
      </c>
      <c r="C63" s="9" t="s">
        <v>400</v>
      </c>
      <c r="D63" s="9" t="s">
        <v>401</v>
      </c>
      <c r="E63" s="9" t="n">
        <v>0</v>
      </c>
    </row>
    <row r="64" customFormat="false" ht="15" hidden="false" customHeight="false" outlineLevel="0" collapsed="false">
      <c r="A64" s="9" t="s">
        <v>280</v>
      </c>
      <c r="B64" s="9" t="s">
        <v>281</v>
      </c>
      <c r="C64" s="9" t="s">
        <v>402</v>
      </c>
      <c r="D64" s="9" t="s">
        <v>403</v>
      </c>
      <c r="E64" s="9" t="n">
        <v>0</v>
      </c>
    </row>
    <row r="65" customFormat="false" ht="15" hidden="false" customHeight="false" outlineLevel="0" collapsed="false">
      <c r="A65" s="9" t="s">
        <v>280</v>
      </c>
      <c r="B65" s="9" t="s">
        <v>281</v>
      </c>
      <c r="C65" s="9" t="s">
        <v>404</v>
      </c>
      <c r="D65" s="9" t="s">
        <v>405</v>
      </c>
      <c r="E65" s="9" t="n">
        <v>0</v>
      </c>
    </row>
    <row r="66" customFormat="false" ht="15" hidden="false" customHeight="false" outlineLevel="0" collapsed="false">
      <c r="A66" s="9" t="s">
        <v>280</v>
      </c>
      <c r="B66" s="9" t="s">
        <v>281</v>
      </c>
      <c r="C66" s="9" t="s">
        <v>406</v>
      </c>
      <c r="D66" s="9" t="s">
        <v>407</v>
      </c>
      <c r="E66" s="9" t="n">
        <v>0</v>
      </c>
    </row>
    <row r="67" customFormat="false" ht="15" hidden="false" customHeight="false" outlineLevel="0" collapsed="false">
      <c r="A67" s="9" t="s">
        <v>280</v>
      </c>
      <c r="B67" s="9" t="s">
        <v>281</v>
      </c>
      <c r="C67" s="9" t="s">
        <v>408</v>
      </c>
      <c r="D67" s="9" t="s">
        <v>409</v>
      </c>
      <c r="E67" s="9" t="n">
        <v>0</v>
      </c>
    </row>
    <row r="68" customFormat="false" ht="15" hidden="false" customHeight="false" outlineLevel="0" collapsed="false">
      <c r="A68" s="9" t="s">
        <v>280</v>
      </c>
      <c r="B68" s="9" t="s">
        <v>281</v>
      </c>
      <c r="C68" s="9" t="s">
        <v>410</v>
      </c>
      <c r="D68" s="9" t="s">
        <v>411</v>
      </c>
      <c r="E68" s="9" t="n">
        <v>0</v>
      </c>
    </row>
    <row r="69" customFormat="false" ht="15" hidden="false" customHeight="false" outlineLevel="0" collapsed="false">
      <c r="A69" s="9" t="s">
        <v>280</v>
      </c>
      <c r="B69" s="9" t="s">
        <v>281</v>
      </c>
      <c r="C69" s="9" t="s">
        <v>412</v>
      </c>
      <c r="D69" s="9" t="s">
        <v>413</v>
      </c>
      <c r="E69" s="9" t="n">
        <v>0</v>
      </c>
    </row>
    <row r="70" customFormat="false" ht="15" hidden="false" customHeight="false" outlineLevel="0" collapsed="false">
      <c r="A70" s="9" t="s">
        <v>280</v>
      </c>
      <c r="B70" s="9" t="s">
        <v>281</v>
      </c>
      <c r="C70" s="9" t="s">
        <v>414</v>
      </c>
      <c r="D70" s="9" t="s">
        <v>415</v>
      </c>
      <c r="E70" s="9" t="n">
        <v>0</v>
      </c>
    </row>
    <row r="71" customFormat="false" ht="15" hidden="false" customHeight="false" outlineLevel="0" collapsed="false">
      <c r="A71" s="9" t="s">
        <v>280</v>
      </c>
      <c r="B71" s="9" t="s">
        <v>281</v>
      </c>
      <c r="C71" s="9" t="s">
        <v>416</v>
      </c>
      <c r="D71" s="9" t="s">
        <v>417</v>
      </c>
      <c r="E71" s="9" t="n">
        <v>0</v>
      </c>
    </row>
    <row r="72" customFormat="false" ht="15" hidden="false" customHeight="false" outlineLevel="0" collapsed="false">
      <c r="A72" s="9" t="s">
        <v>280</v>
      </c>
      <c r="B72" s="9" t="s">
        <v>281</v>
      </c>
      <c r="C72" s="9" t="s">
        <v>418</v>
      </c>
      <c r="D72" s="9" t="s">
        <v>419</v>
      </c>
      <c r="E72" s="9" t="n">
        <v>0</v>
      </c>
    </row>
    <row r="73" customFormat="false" ht="15" hidden="false" customHeight="false" outlineLevel="0" collapsed="false">
      <c r="A73" s="9" t="s">
        <v>280</v>
      </c>
      <c r="B73" s="9" t="s">
        <v>281</v>
      </c>
      <c r="C73" s="9" t="s">
        <v>420</v>
      </c>
      <c r="D73" s="9" t="s">
        <v>421</v>
      </c>
      <c r="E73" s="9" t="n">
        <v>0</v>
      </c>
    </row>
    <row r="74" customFormat="false" ht="15" hidden="false" customHeight="false" outlineLevel="0" collapsed="false">
      <c r="A74" s="9" t="s">
        <v>280</v>
      </c>
      <c r="B74" s="9" t="s">
        <v>281</v>
      </c>
      <c r="C74" s="9" t="s">
        <v>422</v>
      </c>
      <c r="D74" s="9" t="s">
        <v>423</v>
      </c>
      <c r="E74" s="9" t="n">
        <v>0</v>
      </c>
    </row>
    <row r="75" customFormat="false" ht="15" hidden="false" customHeight="false" outlineLevel="0" collapsed="false">
      <c r="A75" s="9" t="s">
        <v>280</v>
      </c>
      <c r="B75" s="9" t="s">
        <v>281</v>
      </c>
      <c r="C75" s="9" t="s">
        <v>424</v>
      </c>
      <c r="D75" s="9" t="s">
        <v>425</v>
      </c>
      <c r="E75" s="9" t="n">
        <v>0</v>
      </c>
    </row>
    <row r="76" customFormat="false" ht="15" hidden="false" customHeight="false" outlineLevel="0" collapsed="false">
      <c r="A76" s="9" t="s">
        <v>280</v>
      </c>
      <c r="B76" s="9" t="s">
        <v>281</v>
      </c>
      <c r="C76" s="9" t="s">
        <v>426</v>
      </c>
      <c r="D76" s="9" t="s">
        <v>427</v>
      </c>
      <c r="E76" s="9" t="n">
        <v>0</v>
      </c>
    </row>
    <row r="77" customFormat="false" ht="15" hidden="false" customHeight="false" outlineLevel="0" collapsed="false">
      <c r="A77" s="9" t="s">
        <v>280</v>
      </c>
      <c r="B77" s="9" t="s">
        <v>281</v>
      </c>
      <c r="C77" s="9" t="s">
        <v>428</v>
      </c>
      <c r="D77" s="9" t="s">
        <v>429</v>
      </c>
      <c r="E77" s="9" t="n">
        <v>0</v>
      </c>
    </row>
    <row r="78" customFormat="false" ht="15" hidden="false" customHeight="false" outlineLevel="0" collapsed="false">
      <c r="A78" s="9" t="s">
        <v>280</v>
      </c>
      <c r="B78" s="9" t="s">
        <v>281</v>
      </c>
      <c r="C78" s="9" t="s">
        <v>430</v>
      </c>
      <c r="D78" s="9" t="s">
        <v>431</v>
      </c>
      <c r="E78" s="9" t="n">
        <v>0</v>
      </c>
    </row>
    <row r="79" customFormat="false" ht="15" hidden="false" customHeight="false" outlineLevel="0" collapsed="false">
      <c r="A79" s="9" t="s">
        <v>280</v>
      </c>
      <c r="B79" s="9" t="s">
        <v>281</v>
      </c>
      <c r="C79" s="9" t="s">
        <v>432</v>
      </c>
      <c r="D79" s="9" t="s">
        <v>433</v>
      </c>
      <c r="E79" s="9" t="n">
        <v>0</v>
      </c>
    </row>
    <row r="80" customFormat="false" ht="15" hidden="false" customHeight="false" outlineLevel="0" collapsed="false">
      <c r="A80" s="9" t="s">
        <v>280</v>
      </c>
      <c r="B80" s="9" t="s">
        <v>281</v>
      </c>
      <c r="C80" s="9" t="s">
        <v>434</v>
      </c>
      <c r="D80" s="9" t="s">
        <v>435</v>
      </c>
      <c r="E80" s="9" t="n">
        <v>0</v>
      </c>
    </row>
    <row r="81" customFormat="false" ht="15" hidden="false" customHeight="false" outlineLevel="0" collapsed="false">
      <c r="A81" s="9" t="s">
        <v>280</v>
      </c>
      <c r="B81" s="9" t="s">
        <v>281</v>
      </c>
      <c r="C81" s="9" t="s">
        <v>436</v>
      </c>
      <c r="D81" s="9" t="s">
        <v>437</v>
      </c>
      <c r="E81" s="9" t="n">
        <v>0</v>
      </c>
    </row>
    <row r="82" customFormat="false" ht="15" hidden="false" customHeight="false" outlineLevel="0" collapsed="false">
      <c r="A82" s="9" t="s">
        <v>280</v>
      </c>
      <c r="B82" s="9" t="s">
        <v>281</v>
      </c>
      <c r="C82" s="9" t="s">
        <v>438</v>
      </c>
      <c r="D82" s="9" t="s">
        <v>439</v>
      </c>
      <c r="E82" s="9" t="n">
        <v>0</v>
      </c>
    </row>
    <row r="83" customFormat="false" ht="15" hidden="false" customHeight="false" outlineLevel="0" collapsed="false">
      <c r="A83" s="9" t="s">
        <v>280</v>
      </c>
      <c r="B83" s="9" t="s">
        <v>281</v>
      </c>
      <c r="C83" s="9" t="s">
        <v>440</v>
      </c>
      <c r="D83" s="9" t="s">
        <v>441</v>
      </c>
      <c r="E83" s="9" t="n">
        <v>0</v>
      </c>
    </row>
    <row r="84" customFormat="false" ht="15" hidden="false" customHeight="false" outlineLevel="0" collapsed="false">
      <c r="A84" s="9" t="s">
        <v>280</v>
      </c>
      <c r="B84" s="9" t="s">
        <v>281</v>
      </c>
      <c r="C84" s="9" t="s">
        <v>442</v>
      </c>
      <c r="D84" s="9" t="s">
        <v>443</v>
      </c>
      <c r="E84" s="9" t="n">
        <v>0</v>
      </c>
    </row>
    <row r="85" customFormat="false" ht="15" hidden="false" customHeight="false" outlineLevel="0" collapsed="false">
      <c r="A85" s="9" t="s">
        <v>280</v>
      </c>
      <c r="B85" s="9" t="s">
        <v>281</v>
      </c>
      <c r="C85" s="9" t="s">
        <v>444</v>
      </c>
      <c r="D85" s="9" t="s">
        <v>445</v>
      </c>
      <c r="E85" s="9" t="n">
        <v>0</v>
      </c>
    </row>
    <row r="86" customFormat="false" ht="23.85" hidden="false" customHeight="false" outlineLevel="0" collapsed="false">
      <c r="A86" s="9" t="s">
        <v>280</v>
      </c>
      <c r="B86" s="9" t="s">
        <v>281</v>
      </c>
      <c r="C86" s="9" t="s">
        <v>446</v>
      </c>
      <c r="D86" s="9" t="s">
        <v>447</v>
      </c>
      <c r="E86" s="9" t="n">
        <v>0</v>
      </c>
    </row>
    <row r="87" customFormat="false" ht="15" hidden="false" customHeight="false" outlineLevel="0" collapsed="false">
      <c r="A87" s="9" t="s">
        <v>280</v>
      </c>
      <c r="B87" s="9" t="s">
        <v>281</v>
      </c>
      <c r="C87" s="9" t="s">
        <v>448</v>
      </c>
      <c r="D87" s="9" t="s">
        <v>449</v>
      </c>
      <c r="E87" s="9" t="n">
        <v>0</v>
      </c>
    </row>
    <row r="88" customFormat="false" ht="15" hidden="false" customHeight="false" outlineLevel="0" collapsed="false">
      <c r="A88" s="9" t="s">
        <v>280</v>
      </c>
      <c r="B88" s="9" t="s">
        <v>281</v>
      </c>
      <c r="C88" s="9" t="s">
        <v>450</v>
      </c>
      <c r="D88" s="9" t="s">
        <v>451</v>
      </c>
      <c r="E88" s="9" t="n">
        <v>0</v>
      </c>
    </row>
    <row r="89" customFormat="false" ht="15" hidden="false" customHeight="false" outlineLevel="0" collapsed="false">
      <c r="A89" s="9" t="s">
        <v>280</v>
      </c>
      <c r="B89" s="9" t="s">
        <v>281</v>
      </c>
      <c r="C89" s="9" t="s">
        <v>452</v>
      </c>
      <c r="D89" s="9" t="s">
        <v>453</v>
      </c>
      <c r="E89" s="9" t="n">
        <v>0</v>
      </c>
    </row>
    <row r="90" customFormat="false" ht="15" hidden="false" customHeight="false" outlineLevel="0" collapsed="false">
      <c r="A90" s="9" t="s">
        <v>280</v>
      </c>
      <c r="B90" s="9" t="s">
        <v>454</v>
      </c>
      <c r="C90" s="9" t="s">
        <v>455</v>
      </c>
      <c r="D90" s="9" t="s">
        <v>456</v>
      </c>
      <c r="E90" s="9" t="n">
        <v>0</v>
      </c>
    </row>
    <row r="91" customFormat="false" ht="15" hidden="false" customHeight="false" outlineLevel="0" collapsed="false">
      <c r="A91" s="9" t="s">
        <v>280</v>
      </c>
      <c r="B91" s="9" t="s">
        <v>454</v>
      </c>
      <c r="C91" s="9" t="s">
        <v>457</v>
      </c>
      <c r="D91" s="9" t="s">
        <v>458</v>
      </c>
      <c r="E91" s="9" t="n">
        <v>75</v>
      </c>
    </row>
    <row r="92" customFormat="false" ht="15" hidden="false" customHeight="false" outlineLevel="0" collapsed="false">
      <c r="A92" s="9" t="s">
        <v>280</v>
      </c>
      <c r="B92" s="9" t="s">
        <v>454</v>
      </c>
      <c r="C92" s="9" t="s">
        <v>459</v>
      </c>
      <c r="D92" s="9" t="s">
        <v>460</v>
      </c>
      <c r="E92" s="9" t="n">
        <v>0</v>
      </c>
    </row>
    <row r="93" customFormat="false" ht="15" hidden="false" customHeight="false" outlineLevel="0" collapsed="false">
      <c r="A93" s="9" t="s">
        <v>280</v>
      </c>
      <c r="B93" s="9" t="s">
        <v>454</v>
      </c>
      <c r="C93" s="9" t="s">
        <v>461</v>
      </c>
      <c r="D93" s="9" t="s">
        <v>462</v>
      </c>
      <c r="E93" s="9" t="n">
        <v>5</v>
      </c>
    </row>
    <row r="94" customFormat="false" ht="15" hidden="false" customHeight="false" outlineLevel="0" collapsed="false">
      <c r="A94" s="9" t="s">
        <v>280</v>
      </c>
      <c r="B94" s="9" t="s">
        <v>454</v>
      </c>
      <c r="C94" s="9" t="s">
        <v>463</v>
      </c>
      <c r="D94" s="9" t="s">
        <v>464</v>
      </c>
      <c r="E94" s="9" t="n">
        <v>0</v>
      </c>
    </row>
    <row r="95" customFormat="false" ht="15" hidden="false" customHeight="false" outlineLevel="0" collapsed="false">
      <c r="A95" s="9" t="s">
        <v>280</v>
      </c>
      <c r="B95" s="9" t="s">
        <v>454</v>
      </c>
      <c r="C95" s="9" t="s">
        <v>465</v>
      </c>
      <c r="D95" s="9" t="s">
        <v>466</v>
      </c>
      <c r="E95" s="9" t="n">
        <v>12</v>
      </c>
    </row>
    <row r="96" customFormat="false" ht="15" hidden="false" customHeight="false" outlineLevel="0" collapsed="false">
      <c r="A96" s="9" t="s">
        <v>280</v>
      </c>
      <c r="B96" s="9" t="s">
        <v>454</v>
      </c>
      <c r="C96" s="9" t="s">
        <v>467</v>
      </c>
      <c r="D96" s="9" t="s">
        <v>468</v>
      </c>
      <c r="E96" s="9" t="n">
        <v>0</v>
      </c>
    </row>
    <row r="97" customFormat="false" ht="15" hidden="false" customHeight="false" outlineLevel="0" collapsed="false">
      <c r="A97" s="9" t="s">
        <v>280</v>
      </c>
      <c r="B97" s="9" t="s">
        <v>454</v>
      </c>
      <c r="C97" s="9" t="s">
        <v>469</v>
      </c>
      <c r="D97" s="9" t="s">
        <v>470</v>
      </c>
      <c r="E97" s="9" t="n">
        <v>0</v>
      </c>
    </row>
    <row r="98" customFormat="false" ht="15" hidden="false" customHeight="false" outlineLevel="0" collapsed="false">
      <c r="A98" s="9" t="s">
        <v>280</v>
      </c>
      <c r="B98" s="9" t="s">
        <v>454</v>
      </c>
      <c r="C98" s="9" t="s">
        <v>471</v>
      </c>
      <c r="D98" s="9" t="s">
        <v>472</v>
      </c>
      <c r="E98" s="9" t="n">
        <v>8</v>
      </c>
    </row>
    <row r="99" customFormat="false" ht="15" hidden="false" customHeight="false" outlineLevel="0" collapsed="false">
      <c r="A99" s="9" t="s">
        <v>280</v>
      </c>
      <c r="B99" s="9" t="s">
        <v>454</v>
      </c>
      <c r="C99" s="9" t="s">
        <v>473</v>
      </c>
      <c r="D99" s="9" t="s">
        <v>474</v>
      </c>
      <c r="E99" s="9" t="n">
        <v>77</v>
      </c>
    </row>
    <row r="100" customFormat="false" ht="15" hidden="false" customHeight="false" outlineLevel="0" collapsed="false">
      <c r="A100" s="9" t="s">
        <v>280</v>
      </c>
      <c r="B100" s="9" t="s">
        <v>454</v>
      </c>
      <c r="C100" s="9" t="s">
        <v>475</v>
      </c>
      <c r="D100" s="9" t="s">
        <v>476</v>
      </c>
      <c r="E100" s="9" t="n">
        <v>36</v>
      </c>
    </row>
    <row r="101" customFormat="false" ht="15" hidden="false" customHeight="false" outlineLevel="0" collapsed="false">
      <c r="A101" s="9" t="s">
        <v>280</v>
      </c>
      <c r="B101" s="9" t="s">
        <v>454</v>
      </c>
      <c r="C101" s="9" t="s">
        <v>477</v>
      </c>
      <c r="D101" s="9" t="s">
        <v>478</v>
      </c>
      <c r="E101" s="9" t="n">
        <v>3</v>
      </c>
    </row>
    <row r="102" customFormat="false" ht="15" hidden="false" customHeight="false" outlineLevel="0" collapsed="false">
      <c r="A102" s="9" t="s">
        <v>280</v>
      </c>
      <c r="B102" s="9" t="s">
        <v>454</v>
      </c>
      <c r="C102" s="9" t="s">
        <v>479</v>
      </c>
      <c r="D102" s="9" t="s">
        <v>480</v>
      </c>
      <c r="E102" s="9" t="n">
        <v>55</v>
      </c>
    </row>
    <row r="103" customFormat="false" ht="15" hidden="false" customHeight="false" outlineLevel="0" collapsed="false">
      <c r="A103" s="9" t="s">
        <v>280</v>
      </c>
      <c r="B103" s="9" t="s">
        <v>454</v>
      </c>
      <c r="C103" s="9" t="s">
        <v>481</v>
      </c>
      <c r="D103" s="9" t="s">
        <v>482</v>
      </c>
      <c r="E103" s="9" t="n">
        <v>122</v>
      </c>
    </row>
    <row r="104" customFormat="false" ht="15" hidden="false" customHeight="false" outlineLevel="0" collapsed="false">
      <c r="A104" s="9" t="s">
        <v>280</v>
      </c>
      <c r="B104" s="9" t="s">
        <v>454</v>
      </c>
      <c r="C104" s="9" t="s">
        <v>483</v>
      </c>
      <c r="D104" s="9" t="s">
        <v>484</v>
      </c>
      <c r="E104" s="9" t="n">
        <v>151</v>
      </c>
    </row>
    <row r="105" customFormat="false" ht="15" hidden="false" customHeight="false" outlineLevel="0" collapsed="false">
      <c r="A105" s="9" t="s">
        <v>280</v>
      </c>
      <c r="B105" s="9" t="s">
        <v>454</v>
      </c>
      <c r="C105" s="9" t="s">
        <v>485</v>
      </c>
      <c r="D105" s="9" t="s">
        <v>486</v>
      </c>
      <c r="E105" s="9" t="n">
        <v>2</v>
      </c>
    </row>
    <row r="106" customFormat="false" ht="15" hidden="false" customHeight="false" outlineLevel="0" collapsed="false">
      <c r="A106" s="9" t="s">
        <v>280</v>
      </c>
      <c r="B106" s="9" t="s">
        <v>454</v>
      </c>
      <c r="C106" s="9" t="s">
        <v>487</v>
      </c>
      <c r="D106" s="9" t="s">
        <v>488</v>
      </c>
      <c r="E106" s="9" t="n">
        <v>1</v>
      </c>
    </row>
    <row r="107" customFormat="false" ht="15" hidden="false" customHeight="false" outlineLevel="0" collapsed="false">
      <c r="A107" s="9" t="s">
        <v>280</v>
      </c>
      <c r="B107" s="9" t="s">
        <v>454</v>
      </c>
      <c r="C107" s="9" t="s">
        <v>489</v>
      </c>
      <c r="D107" s="9" t="s">
        <v>490</v>
      </c>
      <c r="E107" s="9" t="n">
        <v>0</v>
      </c>
    </row>
    <row r="108" customFormat="false" ht="15" hidden="false" customHeight="false" outlineLevel="0" collapsed="false">
      <c r="A108" s="9" t="s">
        <v>280</v>
      </c>
      <c r="B108" s="9" t="s">
        <v>454</v>
      </c>
      <c r="C108" s="9" t="s">
        <v>491</v>
      </c>
      <c r="D108" s="9" t="s">
        <v>492</v>
      </c>
      <c r="E108" s="9" t="n">
        <v>82</v>
      </c>
    </row>
    <row r="109" customFormat="false" ht="15" hidden="false" customHeight="false" outlineLevel="0" collapsed="false">
      <c r="A109" s="9" t="s">
        <v>280</v>
      </c>
      <c r="B109" s="9" t="s">
        <v>454</v>
      </c>
      <c r="C109" s="9" t="s">
        <v>493</v>
      </c>
      <c r="D109" s="9" t="s">
        <v>494</v>
      </c>
      <c r="E109" s="9" t="n">
        <v>24</v>
      </c>
    </row>
    <row r="110" customFormat="false" ht="15" hidden="false" customHeight="false" outlineLevel="0" collapsed="false">
      <c r="A110" s="9" t="s">
        <v>280</v>
      </c>
      <c r="B110" s="9" t="s">
        <v>454</v>
      </c>
      <c r="C110" s="9" t="s">
        <v>495</v>
      </c>
      <c r="D110" s="9" t="s">
        <v>293</v>
      </c>
      <c r="E110" s="9" t="n">
        <v>0</v>
      </c>
    </row>
    <row r="111" customFormat="false" ht="15" hidden="false" customHeight="false" outlineLevel="0" collapsed="false">
      <c r="A111" s="9" t="s">
        <v>280</v>
      </c>
      <c r="B111" s="9" t="s">
        <v>454</v>
      </c>
      <c r="C111" s="9" t="s">
        <v>496</v>
      </c>
      <c r="D111" s="9" t="s">
        <v>466</v>
      </c>
      <c r="E111" s="9" t="n">
        <v>0</v>
      </c>
    </row>
    <row r="112" customFormat="false" ht="15" hidden="false" customHeight="false" outlineLevel="0" collapsed="false">
      <c r="A112" s="9" t="s">
        <v>280</v>
      </c>
      <c r="B112" s="9" t="s">
        <v>454</v>
      </c>
      <c r="C112" s="9" t="s">
        <v>497</v>
      </c>
      <c r="D112" s="9" t="s">
        <v>476</v>
      </c>
      <c r="E112" s="9" t="n">
        <v>4</v>
      </c>
    </row>
    <row r="113" customFormat="false" ht="15" hidden="false" customHeight="false" outlineLevel="0" collapsed="false">
      <c r="A113" s="9" t="s">
        <v>280</v>
      </c>
      <c r="B113" s="9" t="s">
        <v>454</v>
      </c>
      <c r="C113" s="9" t="s">
        <v>498</v>
      </c>
      <c r="D113" s="9" t="s">
        <v>482</v>
      </c>
      <c r="E113" s="9" t="n">
        <v>4</v>
      </c>
    </row>
    <row r="114" customFormat="false" ht="15" hidden="false" customHeight="false" outlineLevel="0" collapsed="false">
      <c r="A114" s="9" t="s">
        <v>280</v>
      </c>
      <c r="B114" s="9" t="s">
        <v>454</v>
      </c>
      <c r="C114" s="9" t="s">
        <v>499</v>
      </c>
      <c r="D114" s="9" t="s">
        <v>500</v>
      </c>
      <c r="E114" s="9" t="n">
        <v>4</v>
      </c>
    </row>
    <row r="115" customFormat="false" ht="15" hidden="false" customHeight="false" outlineLevel="0" collapsed="false">
      <c r="A115" s="9" t="s">
        <v>280</v>
      </c>
      <c r="B115" s="9" t="s">
        <v>454</v>
      </c>
      <c r="C115" s="9" t="s">
        <v>501</v>
      </c>
      <c r="D115" s="9" t="s">
        <v>502</v>
      </c>
      <c r="E115" s="9" t="n">
        <v>4</v>
      </c>
    </row>
    <row r="116" customFormat="false" ht="15" hidden="false" customHeight="false" outlineLevel="0" collapsed="false">
      <c r="A116" s="9" t="s">
        <v>280</v>
      </c>
      <c r="B116" s="9" t="s">
        <v>454</v>
      </c>
      <c r="C116" s="9" t="s">
        <v>503</v>
      </c>
      <c r="D116" s="9" t="s">
        <v>504</v>
      </c>
      <c r="E116" s="9" t="n">
        <v>5</v>
      </c>
    </row>
    <row r="117" customFormat="false" ht="15" hidden="false" customHeight="false" outlineLevel="0" collapsed="false">
      <c r="A117" s="9" t="s">
        <v>280</v>
      </c>
      <c r="B117" s="9" t="s">
        <v>454</v>
      </c>
      <c r="C117" s="9" t="s">
        <v>505</v>
      </c>
      <c r="D117" s="9" t="s">
        <v>506</v>
      </c>
      <c r="E117" s="9" t="n">
        <v>21</v>
      </c>
    </row>
    <row r="118" customFormat="false" ht="15" hidden="false" customHeight="false" outlineLevel="0" collapsed="false">
      <c r="A118" s="9" t="s">
        <v>280</v>
      </c>
      <c r="B118" s="9" t="s">
        <v>454</v>
      </c>
      <c r="C118" s="9" t="s">
        <v>507</v>
      </c>
      <c r="D118" s="9" t="s">
        <v>508</v>
      </c>
      <c r="E118" s="9" t="n">
        <v>8</v>
      </c>
    </row>
    <row r="119" customFormat="false" ht="15" hidden="false" customHeight="false" outlineLevel="0" collapsed="false">
      <c r="A119" s="9" t="s">
        <v>280</v>
      </c>
      <c r="B119" s="9" t="s">
        <v>454</v>
      </c>
      <c r="C119" s="9" t="s">
        <v>509</v>
      </c>
      <c r="D119" s="9" t="s">
        <v>510</v>
      </c>
      <c r="E119" s="9" t="n">
        <v>14</v>
      </c>
    </row>
    <row r="120" customFormat="false" ht="15" hidden="false" customHeight="false" outlineLevel="0" collapsed="false">
      <c r="A120" s="9" t="s">
        <v>280</v>
      </c>
      <c r="B120" s="9" t="s">
        <v>454</v>
      </c>
      <c r="C120" s="9" t="s">
        <v>511</v>
      </c>
      <c r="D120" s="9" t="s">
        <v>512</v>
      </c>
      <c r="E120" s="9" t="n">
        <v>11</v>
      </c>
    </row>
    <row r="121" customFormat="false" ht="15" hidden="false" customHeight="false" outlineLevel="0" collapsed="false">
      <c r="A121" s="9" t="s">
        <v>280</v>
      </c>
      <c r="B121" s="9" t="s">
        <v>454</v>
      </c>
      <c r="C121" s="9" t="s">
        <v>513</v>
      </c>
      <c r="D121" s="9" t="s">
        <v>514</v>
      </c>
      <c r="E121" s="9" t="n">
        <v>9</v>
      </c>
    </row>
    <row r="122" customFormat="false" ht="15" hidden="false" customHeight="false" outlineLevel="0" collapsed="false">
      <c r="A122" s="9" t="s">
        <v>280</v>
      </c>
      <c r="B122" s="9" t="s">
        <v>454</v>
      </c>
      <c r="C122" s="9" t="s">
        <v>515</v>
      </c>
      <c r="D122" s="9" t="s">
        <v>516</v>
      </c>
      <c r="E122" s="9" t="n">
        <v>11</v>
      </c>
    </row>
    <row r="123" customFormat="false" ht="15" hidden="false" customHeight="false" outlineLevel="0" collapsed="false">
      <c r="A123" s="9" t="s">
        <v>280</v>
      </c>
      <c r="B123" s="9" t="s">
        <v>454</v>
      </c>
      <c r="C123" s="9" t="s">
        <v>517</v>
      </c>
      <c r="D123" s="9" t="s">
        <v>518</v>
      </c>
      <c r="E123" s="9" t="n">
        <v>23</v>
      </c>
    </row>
    <row r="124" customFormat="false" ht="15" hidden="false" customHeight="false" outlineLevel="0" collapsed="false">
      <c r="A124" s="9" t="s">
        <v>280</v>
      </c>
      <c r="B124" s="9" t="s">
        <v>454</v>
      </c>
      <c r="C124" s="9" t="s">
        <v>519</v>
      </c>
      <c r="D124" s="9" t="s">
        <v>520</v>
      </c>
      <c r="E124" s="9" t="n">
        <v>2</v>
      </c>
    </row>
    <row r="125" customFormat="false" ht="15" hidden="false" customHeight="false" outlineLevel="0" collapsed="false">
      <c r="A125" s="9" t="s">
        <v>280</v>
      </c>
      <c r="B125" s="9" t="s">
        <v>454</v>
      </c>
      <c r="C125" s="9" t="s">
        <v>521</v>
      </c>
      <c r="D125" s="9" t="s">
        <v>522</v>
      </c>
      <c r="E125" s="9" t="n">
        <v>2</v>
      </c>
    </row>
    <row r="126" customFormat="false" ht="15" hidden="false" customHeight="false" outlineLevel="0" collapsed="false">
      <c r="A126" s="9" t="s">
        <v>280</v>
      </c>
      <c r="B126" s="9" t="s">
        <v>454</v>
      </c>
      <c r="C126" s="9" t="s">
        <v>523</v>
      </c>
      <c r="D126" s="9" t="s">
        <v>524</v>
      </c>
      <c r="E126" s="9" t="n">
        <v>3</v>
      </c>
    </row>
    <row r="127" customFormat="false" ht="15" hidden="false" customHeight="false" outlineLevel="0" collapsed="false">
      <c r="A127" s="9" t="s">
        <v>280</v>
      </c>
      <c r="B127" s="9" t="s">
        <v>454</v>
      </c>
      <c r="C127" s="9" t="s">
        <v>525</v>
      </c>
      <c r="D127" s="9" t="s">
        <v>526</v>
      </c>
      <c r="E127" s="9" t="n">
        <v>1</v>
      </c>
    </row>
    <row r="128" customFormat="false" ht="15" hidden="false" customHeight="false" outlineLevel="0" collapsed="false">
      <c r="A128" s="9" t="s">
        <v>280</v>
      </c>
      <c r="B128" s="9" t="s">
        <v>454</v>
      </c>
      <c r="C128" s="9" t="s">
        <v>527</v>
      </c>
      <c r="D128" s="9" t="s">
        <v>528</v>
      </c>
      <c r="E128" s="9" t="n">
        <v>1</v>
      </c>
    </row>
    <row r="129" customFormat="false" ht="15" hidden="false" customHeight="false" outlineLevel="0" collapsed="false">
      <c r="A129" s="9" t="s">
        <v>280</v>
      </c>
      <c r="B129" s="9" t="s">
        <v>454</v>
      </c>
      <c r="C129" s="9" t="s">
        <v>529</v>
      </c>
      <c r="D129" s="9" t="s">
        <v>484</v>
      </c>
      <c r="E129" s="9" t="n">
        <v>3</v>
      </c>
    </row>
    <row r="130" customFormat="false" ht="15" hidden="false" customHeight="false" outlineLevel="0" collapsed="false">
      <c r="A130" s="9" t="s">
        <v>280</v>
      </c>
      <c r="B130" s="9" t="s">
        <v>454</v>
      </c>
      <c r="C130" s="9" t="s">
        <v>530</v>
      </c>
      <c r="D130" s="9" t="s">
        <v>510</v>
      </c>
      <c r="E130" s="9" t="n">
        <v>3</v>
      </c>
    </row>
    <row r="131" customFormat="false" ht="15" hidden="false" customHeight="false" outlineLevel="0" collapsed="false">
      <c r="A131" s="9" t="s">
        <v>280</v>
      </c>
      <c r="B131" s="9" t="s">
        <v>454</v>
      </c>
      <c r="C131" s="9" t="s">
        <v>531</v>
      </c>
      <c r="D131" s="9" t="s">
        <v>532</v>
      </c>
      <c r="E131" s="9" t="n">
        <v>6</v>
      </c>
    </row>
    <row r="132" customFormat="false" ht="15" hidden="false" customHeight="false" outlineLevel="0" collapsed="false">
      <c r="A132" s="9" t="s">
        <v>280</v>
      </c>
      <c r="B132" s="9" t="s">
        <v>454</v>
      </c>
      <c r="C132" s="9" t="s">
        <v>533</v>
      </c>
      <c r="D132" s="9" t="s">
        <v>534</v>
      </c>
      <c r="E132" s="9" t="n">
        <v>0</v>
      </c>
    </row>
    <row r="133" customFormat="false" ht="15" hidden="false" customHeight="false" outlineLevel="0" collapsed="false">
      <c r="A133" s="9" t="s">
        <v>280</v>
      </c>
      <c r="B133" s="9" t="s">
        <v>454</v>
      </c>
      <c r="C133" s="9" t="s">
        <v>535</v>
      </c>
      <c r="D133" s="9" t="s">
        <v>536</v>
      </c>
      <c r="E133" s="9" t="n">
        <v>0</v>
      </c>
    </row>
    <row r="134" customFormat="false" ht="15" hidden="false" customHeight="false" outlineLevel="0" collapsed="false">
      <c r="A134" s="9" t="s">
        <v>280</v>
      </c>
      <c r="B134" s="9" t="s">
        <v>454</v>
      </c>
      <c r="C134" s="9" t="s">
        <v>537</v>
      </c>
      <c r="D134" s="9" t="s">
        <v>538</v>
      </c>
      <c r="E134" s="9" t="n">
        <v>0</v>
      </c>
    </row>
    <row r="135" customFormat="false" ht="15" hidden="false" customHeight="false" outlineLevel="0" collapsed="false">
      <c r="A135" s="9" t="s">
        <v>280</v>
      </c>
      <c r="B135" s="9" t="s">
        <v>454</v>
      </c>
      <c r="C135" s="9" t="s">
        <v>539</v>
      </c>
      <c r="D135" s="9" t="s">
        <v>540</v>
      </c>
      <c r="E135" s="9" t="n">
        <v>0</v>
      </c>
    </row>
    <row r="136" customFormat="false" ht="15" hidden="false" customHeight="false" outlineLevel="0" collapsed="false">
      <c r="A136" s="9" t="s">
        <v>280</v>
      </c>
      <c r="B136" s="9" t="s">
        <v>454</v>
      </c>
      <c r="C136" s="9" t="s">
        <v>541</v>
      </c>
      <c r="D136" s="9" t="s">
        <v>542</v>
      </c>
      <c r="E136" s="9" t="n">
        <v>0</v>
      </c>
    </row>
    <row r="137" customFormat="false" ht="15" hidden="false" customHeight="false" outlineLevel="0" collapsed="false">
      <c r="A137" s="9" t="s">
        <v>280</v>
      </c>
      <c r="B137" s="9" t="s">
        <v>454</v>
      </c>
      <c r="C137" s="9" t="s">
        <v>543</v>
      </c>
      <c r="D137" s="9" t="s">
        <v>544</v>
      </c>
      <c r="E137" s="9" t="n">
        <v>0</v>
      </c>
    </row>
    <row r="138" customFormat="false" ht="15" hidden="false" customHeight="false" outlineLevel="0" collapsed="false">
      <c r="A138" s="9" t="s">
        <v>280</v>
      </c>
      <c r="B138" s="9" t="s">
        <v>454</v>
      </c>
      <c r="C138" s="9" t="s">
        <v>545</v>
      </c>
      <c r="D138" s="9" t="s">
        <v>546</v>
      </c>
      <c r="E138" s="9" t="n">
        <v>0</v>
      </c>
    </row>
    <row r="139" customFormat="false" ht="15" hidden="false" customHeight="false" outlineLevel="0" collapsed="false">
      <c r="A139" s="9" t="s">
        <v>280</v>
      </c>
      <c r="B139" s="9" t="s">
        <v>454</v>
      </c>
      <c r="C139" s="9" t="s">
        <v>547</v>
      </c>
      <c r="D139" s="9" t="s">
        <v>548</v>
      </c>
      <c r="E139" s="9" t="n">
        <v>0</v>
      </c>
    </row>
    <row r="140" customFormat="false" ht="15" hidden="false" customHeight="false" outlineLevel="0" collapsed="false">
      <c r="A140" s="9" t="s">
        <v>280</v>
      </c>
      <c r="B140" s="9" t="s">
        <v>454</v>
      </c>
      <c r="C140" s="9" t="s">
        <v>549</v>
      </c>
      <c r="D140" s="9" t="s">
        <v>550</v>
      </c>
      <c r="E140" s="9" t="n">
        <v>0</v>
      </c>
    </row>
    <row r="141" customFormat="false" ht="15" hidden="false" customHeight="false" outlineLevel="0" collapsed="false">
      <c r="A141" s="9" t="s">
        <v>280</v>
      </c>
      <c r="B141" s="9" t="s">
        <v>454</v>
      </c>
      <c r="C141" s="9" t="s">
        <v>551</v>
      </c>
      <c r="D141" s="9" t="s">
        <v>552</v>
      </c>
      <c r="E141" s="9" t="n">
        <v>0</v>
      </c>
    </row>
    <row r="142" customFormat="false" ht="15" hidden="false" customHeight="false" outlineLevel="0" collapsed="false">
      <c r="A142" s="9" t="s">
        <v>280</v>
      </c>
      <c r="B142" s="9" t="s">
        <v>454</v>
      </c>
      <c r="C142" s="9" t="s">
        <v>553</v>
      </c>
      <c r="D142" s="9" t="s">
        <v>554</v>
      </c>
      <c r="E142" s="9" t="n">
        <v>0</v>
      </c>
    </row>
    <row r="143" customFormat="false" ht="15" hidden="false" customHeight="false" outlineLevel="0" collapsed="false">
      <c r="A143" s="9" t="s">
        <v>280</v>
      </c>
      <c r="B143" s="9" t="s">
        <v>454</v>
      </c>
      <c r="C143" s="9" t="s">
        <v>555</v>
      </c>
      <c r="D143" s="9" t="s">
        <v>552</v>
      </c>
      <c r="E143" s="9" t="n">
        <v>0</v>
      </c>
    </row>
    <row r="144" customFormat="false" ht="15" hidden="false" customHeight="false" outlineLevel="0" collapsed="false">
      <c r="A144" s="9" t="s">
        <v>280</v>
      </c>
      <c r="B144" s="9" t="s">
        <v>454</v>
      </c>
      <c r="C144" s="9" t="s">
        <v>556</v>
      </c>
      <c r="D144" s="9" t="s">
        <v>554</v>
      </c>
      <c r="E144" s="9" t="n">
        <v>0</v>
      </c>
    </row>
    <row r="145" customFormat="false" ht="15" hidden="false" customHeight="false" outlineLevel="0" collapsed="false">
      <c r="A145" s="9" t="s">
        <v>280</v>
      </c>
      <c r="B145" s="9" t="s">
        <v>454</v>
      </c>
      <c r="C145" s="9" t="s">
        <v>557</v>
      </c>
      <c r="D145" s="9" t="s">
        <v>552</v>
      </c>
      <c r="E145" s="9" t="n">
        <v>0</v>
      </c>
    </row>
    <row r="146" customFormat="false" ht="15" hidden="false" customHeight="false" outlineLevel="0" collapsed="false">
      <c r="A146" s="9" t="s">
        <v>280</v>
      </c>
      <c r="B146" s="9" t="s">
        <v>454</v>
      </c>
      <c r="C146" s="9" t="s">
        <v>558</v>
      </c>
      <c r="D146" s="9" t="s">
        <v>559</v>
      </c>
      <c r="E146" s="9" t="n">
        <v>0</v>
      </c>
    </row>
    <row r="147" customFormat="false" ht="15" hidden="false" customHeight="false" outlineLevel="0" collapsed="false">
      <c r="A147" s="9" t="s">
        <v>280</v>
      </c>
      <c r="B147" s="9" t="s">
        <v>454</v>
      </c>
      <c r="C147" s="9" t="s">
        <v>560</v>
      </c>
      <c r="D147" s="9" t="s">
        <v>554</v>
      </c>
      <c r="E147" s="9" t="n">
        <v>0</v>
      </c>
    </row>
    <row r="148" customFormat="false" ht="15" hidden="false" customHeight="false" outlineLevel="0" collapsed="false">
      <c r="A148" s="9" t="s">
        <v>280</v>
      </c>
      <c r="B148" s="9" t="s">
        <v>454</v>
      </c>
      <c r="C148" s="9" t="s">
        <v>561</v>
      </c>
      <c r="D148" s="9" t="s">
        <v>562</v>
      </c>
      <c r="E148" s="9" t="n">
        <v>0</v>
      </c>
    </row>
    <row r="149" customFormat="false" ht="15" hidden="false" customHeight="false" outlineLevel="0" collapsed="false">
      <c r="A149" s="9" t="s">
        <v>280</v>
      </c>
      <c r="B149" s="9" t="s">
        <v>454</v>
      </c>
      <c r="C149" s="9" t="s">
        <v>563</v>
      </c>
      <c r="D149" s="9" t="s">
        <v>564</v>
      </c>
      <c r="E149" s="9" t="n">
        <v>0</v>
      </c>
    </row>
    <row r="150" customFormat="false" ht="15" hidden="false" customHeight="false" outlineLevel="0" collapsed="false">
      <c r="A150" s="9" t="s">
        <v>280</v>
      </c>
      <c r="B150" s="9" t="s">
        <v>454</v>
      </c>
      <c r="C150" s="9" t="s">
        <v>565</v>
      </c>
      <c r="D150" s="9" t="s">
        <v>562</v>
      </c>
      <c r="E150" s="9" t="n">
        <v>0</v>
      </c>
    </row>
    <row r="151" customFormat="false" ht="15" hidden="false" customHeight="false" outlineLevel="0" collapsed="false">
      <c r="A151" s="9" t="s">
        <v>280</v>
      </c>
      <c r="B151" s="9" t="s">
        <v>454</v>
      </c>
      <c r="C151" s="9" t="s">
        <v>566</v>
      </c>
      <c r="D151" s="9" t="s">
        <v>567</v>
      </c>
      <c r="E151" s="9" t="n">
        <v>0</v>
      </c>
    </row>
    <row r="152" customFormat="false" ht="15" hidden="false" customHeight="false" outlineLevel="0" collapsed="false">
      <c r="A152" s="9" t="s">
        <v>280</v>
      </c>
      <c r="B152" s="9" t="s">
        <v>454</v>
      </c>
      <c r="C152" s="9" t="s">
        <v>568</v>
      </c>
      <c r="D152" s="9" t="s">
        <v>569</v>
      </c>
      <c r="E152" s="9" t="n">
        <v>0</v>
      </c>
    </row>
    <row r="153" customFormat="false" ht="15" hidden="false" customHeight="false" outlineLevel="0" collapsed="false">
      <c r="A153" s="9" t="s">
        <v>280</v>
      </c>
      <c r="B153" s="9" t="s">
        <v>454</v>
      </c>
      <c r="C153" s="9" t="s">
        <v>570</v>
      </c>
      <c r="D153" s="9" t="s">
        <v>564</v>
      </c>
      <c r="E153" s="9" t="n">
        <v>0</v>
      </c>
    </row>
    <row r="154" customFormat="false" ht="15" hidden="false" customHeight="false" outlineLevel="0" collapsed="false">
      <c r="A154" s="9" t="s">
        <v>280</v>
      </c>
      <c r="B154" s="9" t="s">
        <v>454</v>
      </c>
      <c r="C154" s="9" t="s">
        <v>571</v>
      </c>
      <c r="D154" s="9" t="s">
        <v>572</v>
      </c>
      <c r="E154" s="9" t="n">
        <v>0</v>
      </c>
    </row>
    <row r="155" customFormat="false" ht="15" hidden="false" customHeight="false" outlineLevel="0" collapsed="false">
      <c r="A155" s="9" t="s">
        <v>280</v>
      </c>
      <c r="B155" s="9" t="s">
        <v>454</v>
      </c>
      <c r="C155" s="9" t="s">
        <v>573</v>
      </c>
      <c r="D155" s="9" t="s">
        <v>569</v>
      </c>
      <c r="E155" s="9" t="n">
        <v>0</v>
      </c>
    </row>
    <row r="156" customFormat="false" ht="15" hidden="false" customHeight="false" outlineLevel="0" collapsed="false">
      <c r="A156" s="9" t="s">
        <v>280</v>
      </c>
      <c r="B156" s="9" t="s">
        <v>454</v>
      </c>
      <c r="C156" s="9" t="s">
        <v>574</v>
      </c>
      <c r="D156" s="9" t="s">
        <v>569</v>
      </c>
      <c r="E156" s="9" t="n">
        <v>0</v>
      </c>
    </row>
    <row r="157" customFormat="false" ht="15" hidden="false" customHeight="false" outlineLevel="0" collapsed="false">
      <c r="A157" s="9" t="s">
        <v>280</v>
      </c>
      <c r="B157" s="9" t="s">
        <v>454</v>
      </c>
      <c r="C157" s="9" t="s">
        <v>575</v>
      </c>
      <c r="D157" s="9" t="s">
        <v>559</v>
      </c>
      <c r="E157" s="9" t="n">
        <v>0</v>
      </c>
    </row>
    <row r="158" customFormat="false" ht="15" hidden="false" customHeight="false" outlineLevel="0" collapsed="false">
      <c r="A158" s="9" t="s">
        <v>280</v>
      </c>
      <c r="B158" s="9" t="s">
        <v>454</v>
      </c>
      <c r="C158" s="9" t="s">
        <v>576</v>
      </c>
      <c r="D158" s="9" t="s">
        <v>577</v>
      </c>
      <c r="E158" s="9" t="n">
        <v>0</v>
      </c>
    </row>
    <row r="159" customFormat="false" ht="15" hidden="false" customHeight="false" outlineLevel="0" collapsed="false">
      <c r="A159" s="9" t="s">
        <v>280</v>
      </c>
      <c r="B159" s="9" t="s">
        <v>454</v>
      </c>
      <c r="C159" s="9" t="s">
        <v>578</v>
      </c>
      <c r="D159" s="9" t="s">
        <v>579</v>
      </c>
      <c r="E159" s="9" t="n">
        <v>0</v>
      </c>
    </row>
    <row r="160" customFormat="false" ht="15" hidden="false" customHeight="false" outlineLevel="0" collapsed="false">
      <c r="A160" s="9" t="s">
        <v>280</v>
      </c>
      <c r="B160" s="9" t="s">
        <v>454</v>
      </c>
      <c r="C160" s="9" t="s">
        <v>580</v>
      </c>
      <c r="D160" s="9" t="s">
        <v>581</v>
      </c>
      <c r="E160" s="9" t="n">
        <v>0</v>
      </c>
    </row>
    <row r="161" customFormat="false" ht="15" hidden="false" customHeight="false" outlineLevel="0" collapsed="false">
      <c r="A161" s="9" t="s">
        <v>280</v>
      </c>
      <c r="B161" s="9" t="s">
        <v>454</v>
      </c>
      <c r="C161" s="9" t="s">
        <v>582</v>
      </c>
      <c r="D161" s="9" t="s">
        <v>583</v>
      </c>
      <c r="E161" s="9" t="n">
        <v>0</v>
      </c>
    </row>
    <row r="162" customFormat="false" ht="15" hidden="false" customHeight="false" outlineLevel="0" collapsed="false">
      <c r="A162" s="9" t="s">
        <v>280</v>
      </c>
      <c r="B162" s="9" t="s">
        <v>454</v>
      </c>
      <c r="C162" s="9" t="s">
        <v>584</v>
      </c>
      <c r="D162" s="9" t="s">
        <v>585</v>
      </c>
      <c r="E162" s="9" t="n">
        <v>0</v>
      </c>
    </row>
    <row r="163" customFormat="false" ht="15" hidden="false" customHeight="false" outlineLevel="0" collapsed="false">
      <c r="A163" s="9" t="s">
        <v>280</v>
      </c>
      <c r="B163" s="9" t="s">
        <v>454</v>
      </c>
      <c r="C163" s="9" t="s">
        <v>586</v>
      </c>
      <c r="D163" s="9" t="s">
        <v>554</v>
      </c>
      <c r="E163" s="9" t="n">
        <v>0</v>
      </c>
    </row>
    <row r="164" customFormat="false" ht="15" hidden="false" customHeight="false" outlineLevel="0" collapsed="false">
      <c r="A164" s="9" t="s">
        <v>280</v>
      </c>
      <c r="B164" s="9" t="s">
        <v>454</v>
      </c>
      <c r="C164" s="9" t="s">
        <v>587</v>
      </c>
      <c r="D164" s="9" t="s">
        <v>552</v>
      </c>
      <c r="E164" s="9" t="n">
        <v>0</v>
      </c>
    </row>
    <row r="165" customFormat="false" ht="15" hidden="false" customHeight="false" outlineLevel="0" collapsed="false">
      <c r="A165" s="9" t="s">
        <v>280</v>
      </c>
      <c r="B165" s="9" t="s">
        <v>454</v>
      </c>
      <c r="C165" s="9" t="s">
        <v>588</v>
      </c>
      <c r="D165" s="9" t="s">
        <v>559</v>
      </c>
      <c r="E165" s="9" t="n">
        <v>0</v>
      </c>
    </row>
    <row r="166" customFormat="false" ht="15" hidden="false" customHeight="false" outlineLevel="0" collapsed="false">
      <c r="A166" s="9" t="s">
        <v>280</v>
      </c>
      <c r="B166" s="9" t="s">
        <v>454</v>
      </c>
      <c r="C166" s="9" t="s">
        <v>589</v>
      </c>
      <c r="D166" s="9" t="s">
        <v>554</v>
      </c>
      <c r="E166" s="9" t="n">
        <v>0</v>
      </c>
    </row>
    <row r="167" customFormat="false" ht="15" hidden="false" customHeight="false" outlineLevel="0" collapsed="false">
      <c r="A167" s="9" t="s">
        <v>280</v>
      </c>
      <c r="B167" s="9" t="s">
        <v>454</v>
      </c>
      <c r="C167" s="9" t="s">
        <v>590</v>
      </c>
      <c r="D167" s="9" t="s">
        <v>562</v>
      </c>
      <c r="E167" s="9" t="n">
        <v>0</v>
      </c>
    </row>
    <row r="168" customFormat="false" ht="15" hidden="false" customHeight="false" outlineLevel="0" collapsed="false">
      <c r="A168" s="9" t="s">
        <v>280</v>
      </c>
      <c r="B168" s="9" t="s">
        <v>454</v>
      </c>
      <c r="C168" s="9" t="s">
        <v>591</v>
      </c>
      <c r="D168" s="9" t="s">
        <v>564</v>
      </c>
      <c r="E168" s="9" t="n">
        <v>0</v>
      </c>
    </row>
    <row r="169" customFormat="false" ht="15" hidden="false" customHeight="false" outlineLevel="0" collapsed="false">
      <c r="A169" s="9" t="s">
        <v>280</v>
      </c>
      <c r="B169" s="9" t="s">
        <v>454</v>
      </c>
      <c r="C169" s="9" t="s">
        <v>592</v>
      </c>
      <c r="D169" s="9" t="s">
        <v>569</v>
      </c>
      <c r="E169" s="9" t="n">
        <v>0</v>
      </c>
    </row>
    <row r="170" customFormat="false" ht="15" hidden="false" customHeight="false" outlineLevel="0" collapsed="false">
      <c r="A170" s="9" t="s">
        <v>280</v>
      </c>
      <c r="B170" s="9" t="s">
        <v>454</v>
      </c>
      <c r="C170" s="9" t="s">
        <v>593</v>
      </c>
      <c r="D170" s="9" t="s">
        <v>559</v>
      </c>
      <c r="E170" s="9" t="n">
        <v>0</v>
      </c>
    </row>
    <row r="171" customFormat="false" ht="15" hidden="false" customHeight="false" outlineLevel="0" collapsed="false">
      <c r="A171" s="9" t="s">
        <v>280</v>
      </c>
      <c r="B171" s="9" t="s">
        <v>454</v>
      </c>
      <c r="C171" s="9" t="s">
        <v>594</v>
      </c>
      <c r="D171" s="9" t="s">
        <v>595</v>
      </c>
      <c r="E171" s="9" t="n">
        <v>0</v>
      </c>
    </row>
    <row r="172" customFormat="false" ht="15" hidden="false" customHeight="false" outlineLevel="0" collapsed="false">
      <c r="A172" s="9" t="s">
        <v>280</v>
      </c>
      <c r="B172" s="9" t="s">
        <v>454</v>
      </c>
      <c r="C172" s="9" t="s">
        <v>596</v>
      </c>
      <c r="D172" s="9" t="s">
        <v>597</v>
      </c>
      <c r="E172" s="9" t="n">
        <v>0</v>
      </c>
    </row>
    <row r="173" customFormat="false" ht="15" hidden="false" customHeight="false" outlineLevel="0" collapsed="false">
      <c r="A173" s="9" t="s">
        <v>280</v>
      </c>
      <c r="B173" s="9" t="s">
        <v>454</v>
      </c>
      <c r="C173" s="9" t="s">
        <v>598</v>
      </c>
      <c r="D173" s="9" t="s">
        <v>599</v>
      </c>
      <c r="E173" s="9" t="n">
        <v>0</v>
      </c>
    </row>
    <row r="174" customFormat="false" ht="15" hidden="false" customHeight="false" outlineLevel="0" collapsed="false">
      <c r="A174" s="9" t="s">
        <v>280</v>
      </c>
      <c r="B174" s="9" t="s">
        <v>454</v>
      </c>
      <c r="C174" s="9" t="s">
        <v>600</v>
      </c>
      <c r="D174" s="9" t="s">
        <v>601</v>
      </c>
      <c r="E174" s="9" t="n">
        <v>0</v>
      </c>
    </row>
    <row r="175" customFormat="false" ht="15" hidden="false" customHeight="false" outlineLevel="0" collapsed="false">
      <c r="A175" s="9" t="s">
        <v>280</v>
      </c>
      <c r="B175" s="9" t="s">
        <v>454</v>
      </c>
      <c r="C175" s="9" t="s">
        <v>602</v>
      </c>
      <c r="D175" s="9" t="s">
        <v>603</v>
      </c>
      <c r="E175" s="9" t="n">
        <v>0</v>
      </c>
    </row>
    <row r="176" customFormat="false" ht="15" hidden="false" customHeight="false" outlineLevel="0" collapsed="false">
      <c r="A176" s="9" t="s">
        <v>280</v>
      </c>
      <c r="B176" s="9" t="s">
        <v>454</v>
      </c>
      <c r="C176" s="9" t="s">
        <v>604</v>
      </c>
      <c r="D176" s="9" t="s">
        <v>605</v>
      </c>
      <c r="E176" s="9" t="n">
        <v>0</v>
      </c>
    </row>
    <row r="177" customFormat="false" ht="15" hidden="false" customHeight="false" outlineLevel="0" collapsed="false">
      <c r="A177" s="9" t="s">
        <v>280</v>
      </c>
      <c r="B177" s="9" t="s">
        <v>454</v>
      </c>
      <c r="C177" s="9" t="s">
        <v>606</v>
      </c>
      <c r="D177" s="9" t="s">
        <v>607</v>
      </c>
      <c r="E177" s="9" t="n">
        <v>0</v>
      </c>
    </row>
    <row r="178" customFormat="false" ht="15" hidden="false" customHeight="false" outlineLevel="0" collapsed="false">
      <c r="A178" s="9" t="s">
        <v>280</v>
      </c>
      <c r="B178" s="9" t="s">
        <v>454</v>
      </c>
      <c r="C178" s="9" t="s">
        <v>608</v>
      </c>
      <c r="D178" s="9" t="s">
        <v>609</v>
      </c>
      <c r="E178" s="9" t="n">
        <v>0</v>
      </c>
    </row>
    <row r="179" customFormat="false" ht="15" hidden="false" customHeight="false" outlineLevel="0" collapsed="false">
      <c r="A179" s="9" t="s">
        <v>280</v>
      </c>
      <c r="B179" s="9" t="s">
        <v>454</v>
      </c>
      <c r="C179" s="9" t="s">
        <v>610</v>
      </c>
      <c r="D179" s="9" t="s">
        <v>611</v>
      </c>
      <c r="E179" s="9" t="n">
        <v>0</v>
      </c>
    </row>
    <row r="180" customFormat="false" ht="15" hidden="false" customHeight="false" outlineLevel="0" collapsed="false">
      <c r="A180" s="9" t="s">
        <v>280</v>
      </c>
      <c r="B180" s="9" t="s">
        <v>454</v>
      </c>
      <c r="C180" s="9" t="s">
        <v>612</v>
      </c>
      <c r="D180" s="9" t="s">
        <v>613</v>
      </c>
      <c r="E180" s="9" t="n">
        <v>0</v>
      </c>
    </row>
    <row r="181" customFormat="false" ht="15" hidden="false" customHeight="false" outlineLevel="0" collapsed="false">
      <c r="A181" s="9" t="s">
        <v>280</v>
      </c>
      <c r="B181" s="9" t="s">
        <v>454</v>
      </c>
      <c r="C181" s="9" t="s">
        <v>614</v>
      </c>
      <c r="D181" s="9" t="s">
        <v>615</v>
      </c>
      <c r="E181" s="9" t="n">
        <v>0</v>
      </c>
    </row>
    <row r="182" customFormat="false" ht="15" hidden="false" customHeight="false" outlineLevel="0" collapsed="false">
      <c r="A182" s="9" t="s">
        <v>280</v>
      </c>
      <c r="B182" s="9" t="s">
        <v>454</v>
      </c>
      <c r="C182" s="9" t="s">
        <v>616</v>
      </c>
      <c r="D182" s="9" t="s">
        <v>617</v>
      </c>
      <c r="E182" s="9" t="n">
        <v>0</v>
      </c>
    </row>
    <row r="183" customFormat="false" ht="15" hidden="false" customHeight="false" outlineLevel="0" collapsed="false">
      <c r="A183" s="9" t="s">
        <v>280</v>
      </c>
      <c r="B183" s="9" t="s">
        <v>454</v>
      </c>
      <c r="C183" s="9" t="s">
        <v>618</v>
      </c>
      <c r="D183" s="9" t="s">
        <v>619</v>
      </c>
      <c r="E183" s="9" t="n">
        <v>0</v>
      </c>
    </row>
    <row r="184" customFormat="false" ht="15" hidden="false" customHeight="false" outlineLevel="0" collapsed="false">
      <c r="A184" s="9" t="s">
        <v>280</v>
      </c>
      <c r="B184" s="9" t="s">
        <v>454</v>
      </c>
      <c r="C184" s="9" t="s">
        <v>620</v>
      </c>
      <c r="D184" s="9" t="s">
        <v>621</v>
      </c>
      <c r="E184" s="9" t="n">
        <v>0</v>
      </c>
    </row>
    <row r="185" customFormat="false" ht="15" hidden="false" customHeight="false" outlineLevel="0" collapsed="false">
      <c r="A185" s="9" t="s">
        <v>280</v>
      </c>
      <c r="B185" s="9" t="s">
        <v>454</v>
      </c>
      <c r="C185" s="9" t="s">
        <v>622</v>
      </c>
      <c r="D185" s="9" t="s">
        <v>623</v>
      </c>
      <c r="E185" s="9" t="n">
        <v>0</v>
      </c>
    </row>
    <row r="186" customFormat="false" ht="15" hidden="false" customHeight="false" outlineLevel="0" collapsed="false">
      <c r="A186" s="9" t="s">
        <v>280</v>
      </c>
      <c r="B186" s="9" t="s">
        <v>454</v>
      </c>
      <c r="C186" s="9" t="s">
        <v>624</v>
      </c>
      <c r="D186" s="9" t="s">
        <v>567</v>
      </c>
      <c r="E186" s="9" t="n">
        <v>0</v>
      </c>
    </row>
    <row r="187" customFormat="false" ht="15" hidden="false" customHeight="false" outlineLevel="0" collapsed="false">
      <c r="A187" s="9" t="s">
        <v>280</v>
      </c>
      <c r="B187" s="9" t="s">
        <v>454</v>
      </c>
      <c r="C187" s="9" t="s">
        <v>625</v>
      </c>
      <c r="D187" s="9" t="s">
        <v>550</v>
      </c>
      <c r="E187" s="9" t="n">
        <v>0</v>
      </c>
    </row>
    <row r="188" customFormat="false" ht="15" hidden="false" customHeight="false" outlineLevel="0" collapsed="false">
      <c r="A188" s="9" t="s">
        <v>280</v>
      </c>
      <c r="B188" s="9" t="s">
        <v>454</v>
      </c>
      <c r="C188" s="9" t="s">
        <v>626</v>
      </c>
      <c r="D188" s="9" t="s">
        <v>627</v>
      </c>
      <c r="E188" s="9" t="n">
        <v>0</v>
      </c>
    </row>
    <row r="189" customFormat="false" ht="15" hidden="false" customHeight="false" outlineLevel="0" collapsed="false">
      <c r="A189" s="9" t="s">
        <v>280</v>
      </c>
      <c r="B189" s="9" t="s">
        <v>628</v>
      </c>
      <c r="C189" s="9" t="s">
        <v>549</v>
      </c>
      <c r="D189" s="9" t="s">
        <v>629</v>
      </c>
      <c r="E189" s="9" t="n">
        <v>0</v>
      </c>
    </row>
    <row r="190" customFormat="false" ht="15" hidden="false" customHeight="false" outlineLevel="0" collapsed="false">
      <c r="A190" s="9" t="s">
        <v>280</v>
      </c>
      <c r="B190" s="9" t="s">
        <v>628</v>
      </c>
      <c r="C190" s="9" t="s">
        <v>551</v>
      </c>
      <c r="D190" s="9" t="s">
        <v>630</v>
      </c>
      <c r="E190" s="9" t="n">
        <v>0</v>
      </c>
    </row>
    <row r="191" customFormat="false" ht="15" hidden="false" customHeight="false" outlineLevel="0" collapsed="false">
      <c r="A191" s="9" t="s">
        <v>280</v>
      </c>
      <c r="B191" s="9" t="s">
        <v>628</v>
      </c>
      <c r="C191" s="9" t="s">
        <v>553</v>
      </c>
      <c r="D191" s="9" t="s">
        <v>631</v>
      </c>
      <c r="E191" s="9" t="n">
        <v>0</v>
      </c>
    </row>
    <row r="192" customFormat="false" ht="15" hidden="false" customHeight="false" outlineLevel="0" collapsed="false">
      <c r="A192" s="9" t="s">
        <v>280</v>
      </c>
      <c r="B192" s="9" t="s">
        <v>628</v>
      </c>
      <c r="C192" s="9" t="s">
        <v>555</v>
      </c>
      <c r="D192" s="9" t="s">
        <v>630</v>
      </c>
      <c r="E192" s="9" t="n">
        <v>0</v>
      </c>
    </row>
    <row r="193" customFormat="false" ht="15" hidden="false" customHeight="false" outlineLevel="0" collapsed="false">
      <c r="A193" s="9" t="s">
        <v>280</v>
      </c>
      <c r="B193" s="9" t="s">
        <v>628</v>
      </c>
      <c r="C193" s="9" t="s">
        <v>556</v>
      </c>
      <c r="D193" s="9" t="s">
        <v>631</v>
      </c>
      <c r="E193" s="9" t="n">
        <v>0</v>
      </c>
    </row>
    <row r="194" customFormat="false" ht="15" hidden="false" customHeight="false" outlineLevel="0" collapsed="false">
      <c r="A194" s="9" t="s">
        <v>280</v>
      </c>
      <c r="B194" s="9" t="s">
        <v>628</v>
      </c>
      <c r="C194" s="9" t="s">
        <v>557</v>
      </c>
      <c r="D194" s="9" t="s">
        <v>630</v>
      </c>
      <c r="E194" s="9" t="n">
        <v>0</v>
      </c>
    </row>
    <row r="195" customFormat="false" ht="15" hidden="false" customHeight="false" outlineLevel="0" collapsed="false">
      <c r="A195" s="9" t="s">
        <v>280</v>
      </c>
      <c r="B195" s="9" t="s">
        <v>628</v>
      </c>
      <c r="C195" s="9" t="s">
        <v>558</v>
      </c>
      <c r="D195" s="9" t="s">
        <v>632</v>
      </c>
      <c r="E195" s="9" t="n">
        <v>0</v>
      </c>
    </row>
    <row r="196" customFormat="false" ht="15" hidden="false" customHeight="false" outlineLevel="0" collapsed="false">
      <c r="A196" s="9" t="s">
        <v>280</v>
      </c>
      <c r="B196" s="9" t="s">
        <v>628</v>
      </c>
      <c r="C196" s="9" t="s">
        <v>560</v>
      </c>
      <c r="D196" s="9" t="s">
        <v>629</v>
      </c>
      <c r="E196" s="9" t="n">
        <v>0</v>
      </c>
    </row>
    <row r="197" customFormat="false" ht="15" hidden="false" customHeight="false" outlineLevel="0" collapsed="false">
      <c r="A197" s="9" t="s">
        <v>280</v>
      </c>
      <c r="B197" s="9" t="s">
        <v>628</v>
      </c>
      <c r="C197" s="9" t="s">
        <v>561</v>
      </c>
      <c r="D197" s="9" t="s">
        <v>633</v>
      </c>
      <c r="E197" s="9" t="n">
        <v>0</v>
      </c>
    </row>
    <row r="198" customFormat="false" ht="15" hidden="false" customHeight="false" outlineLevel="0" collapsed="false">
      <c r="A198" s="9" t="s">
        <v>280</v>
      </c>
      <c r="B198" s="9" t="s">
        <v>628</v>
      </c>
      <c r="C198" s="9" t="s">
        <v>563</v>
      </c>
      <c r="D198" s="9" t="s">
        <v>630</v>
      </c>
      <c r="E198" s="9" t="n">
        <v>0</v>
      </c>
    </row>
    <row r="199" customFormat="false" ht="15" hidden="false" customHeight="false" outlineLevel="0" collapsed="false">
      <c r="A199" s="9" t="s">
        <v>280</v>
      </c>
      <c r="B199" s="9" t="s">
        <v>628</v>
      </c>
      <c r="C199" s="9" t="s">
        <v>565</v>
      </c>
      <c r="D199" s="9" t="s">
        <v>634</v>
      </c>
      <c r="E199" s="9" t="n">
        <v>0</v>
      </c>
    </row>
    <row r="200" customFormat="false" ht="15" hidden="false" customHeight="false" outlineLevel="0" collapsed="false">
      <c r="A200" s="9" t="s">
        <v>280</v>
      </c>
      <c r="B200" s="9" t="s">
        <v>628</v>
      </c>
      <c r="C200" s="9" t="s">
        <v>566</v>
      </c>
      <c r="D200" s="9" t="s">
        <v>635</v>
      </c>
      <c r="E200" s="9" t="n">
        <v>0</v>
      </c>
    </row>
    <row r="201" customFormat="false" ht="15" hidden="false" customHeight="false" outlineLevel="0" collapsed="false">
      <c r="A201" s="9" t="s">
        <v>280</v>
      </c>
      <c r="B201" s="9" t="s">
        <v>628</v>
      </c>
      <c r="C201" s="9" t="s">
        <v>568</v>
      </c>
      <c r="D201" s="9" t="s">
        <v>636</v>
      </c>
      <c r="E201" s="9" t="n">
        <v>0</v>
      </c>
    </row>
    <row r="202" customFormat="false" ht="15" hidden="false" customHeight="false" outlineLevel="0" collapsed="false">
      <c r="A202" s="9" t="s">
        <v>280</v>
      </c>
      <c r="B202" s="9" t="s">
        <v>628</v>
      </c>
      <c r="C202" s="9" t="s">
        <v>570</v>
      </c>
      <c r="D202" s="9" t="s">
        <v>630</v>
      </c>
      <c r="E202" s="9" t="n">
        <v>0</v>
      </c>
    </row>
    <row r="203" customFormat="false" ht="15" hidden="false" customHeight="false" outlineLevel="0" collapsed="false">
      <c r="A203" s="9" t="s">
        <v>280</v>
      </c>
      <c r="B203" s="9" t="s">
        <v>628</v>
      </c>
      <c r="C203" s="9" t="s">
        <v>571</v>
      </c>
      <c r="D203" s="9" t="s">
        <v>572</v>
      </c>
      <c r="E203" s="9" t="n">
        <v>0</v>
      </c>
    </row>
    <row r="204" customFormat="false" ht="15" hidden="false" customHeight="false" outlineLevel="0" collapsed="false">
      <c r="A204" s="9" t="s">
        <v>280</v>
      </c>
      <c r="B204" s="9" t="s">
        <v>628</v>
      </c>
      <c r="C204" s="9" t="s">
        <v>573</v>
      </c>
      <c r="D204" s="9" t="s">
        <v>636</v>
      </c>
      <c r="E204" s="9" t="n">
        <v>0</v>
      </c>
    </row>
    <row r="205" customFormat="false" ht="15" hidden="false" customHeight="false" outlineLevel="0" collapsed="false">
      <c r="A205" s="9" t="s">
        <v>280</v>
      </c>
      <c r="B205" s="9" t="s">
        <v>628</v>
      </c>
      <c r="C205" s="9" t="s">
        <v>574</v>
      </c>
      <c r="D205" s="9" t="s">
        <v>636</v>
      </c>
      <c r="E205" s="9" t="n">
        <v>0</v>
      </c>
    </row>
    <row r="206" customFormat="false" ht="15" hidden="false" customHeight="false" outlineLevel="0" collapsed="false">
      <c r="A206" s="9" t="s">
        <v>280</v>
      </c>
      <c r="B206" s="9" t="s">
        <v>628</v>
      </c>
      <c r="C206" s="9" t="s">
        <v>575</v>
      </c>
      <c r="D206" s="9" t="s">
        <v>632</v>
      </c>
      <c r="E206" s="9" t="n">
        <v>0</v>
      </c>
    </row>
    <row r="207" customFormat="false" ht="15" hidden="false" customHeight="false" outlineLevel="0" collapsed="false">
      <c r="A207" s="9" t="s">
        <v>280</v>
      </c>
      <c r="B207" s="9" t="s">
        <v>628</v>
      </c>
      <c r="C207" s="9" t="s">
        <v>576</v>
      </c>
      <c r="D207" s="9" t="s">
        <v>637</v>
      </c>
      <c r="E207" s="9" t="n">
        <v>0</v>
      </c>
    </row>
    <row r="208" customFormat="false" ht="15" hidden="false" customHeight="false" outlineLevel="0" collapsed="false">
      <c r="A208" s="9" t="s">
        <v>280</v>
      </c>
      <c r="B208" s="9" t="s">
        <v>628</v>
      </c>
      <c r="C208" s="9" t="s">
        <v>578</v>
      </c>
      <c r="D208" s="9" t="s">
        <v>638</v>
      </c>
      <c r="E208" s="9" t="n">
        <v>0</v>
      </c>
    </row>
    <row r="209" customFormat="false" ht="15" hidden="false" customHeight="false" outlineLevel="0" collapsed="false">
      <c r="A209" s="9" t="s">
        <v>280</v>
      </c>
      <c r="B209" s="9" t="s">
        <v>628</v>
      </c>
      <c r="C209" s="9" t="s">
        <v>580</v>
      </c>
      <c r="D209" s="9" t="s">
        <v>639</v>
      </c>
      <c r="E209" s="9" t="n">
        <v>0</v>
      </c>
    </row>
    <row r="210" customFormat="false" ht="15" hidden="false" customHeight="false" outlineLevel="0" collapsed="false">
      <c r="A210" s="9" t="s">
        <v>280</v>
      </c>
      <c r="B210" s="9" t="s">
        <v>628</v>
      </c>
      <c r="C210" s="9" t="s">
        <v>582</v>
      </c>
      <c r="D210" s="9" t="s">
        <v>583</v>
      </c>
      <c r="E210" s="9" t="n">
        <v>0</v>
      </c>
    </row>
    <row r="211" customFormat="false" ht="15" hidden="false" customHeight="false" outlineLevel="0" collapsed="false">
      <c r="A211" s="9" t="s">
        <v>280</v>
      </c>
      <c r="B211" s="9" t="s">
        <v>628</v>
      </c>
      <c r="C211" s="9" t="s">
        <v>584</v>
      </c>
      <c r="D211" s="9" t="s">
        <v>585</v>
      </c>
      <c r="E211" s="9" t="n">
        <v>0</v>
      </c>
    </row>
    <row r="212" customFormat="false" ht="15" hidden="false" customHeight="false" outlineLevel="0" collapsed="false">
      <c r="A212" s="9" t="s">
        <v>280</v>
      </c>
      <c r="B212" s="9" t="s">
        <v>628</v>
      </c>
      <c r="C212" s="9" t="s">
        <v>586</v>
      </c>
      <c r="D212" s="9" t="s">
        <v>631</v>
      </c>
      <c r="E212" s="9" t="n">
        <v>0</v>
      </c>
    </row>
    <row r="213" customFormat="false" ht="15" hidden="false" customHeight="false" outlineLevel="0" collapsed="false">
      <c r="A213" s="9" t="s">
        <v>280</v>
      </c>
      <c r="B213" s="9" t="s">
        <v>628</v>
      </c>
      <c r="C213" s="9" t="s">
        <v>587</v>
      </c>
      <c r="D213" s="9" t="s">
        <v>630</v>
      </c>
      <c r="E213" s="9" t="n">
        <v>0</v>
      </c>
    </row>
    <row r="214" customFormat="false" ht="15" hidden="false" customHeight="false" outlineLevel="0" collapsed="false">
      <c r="A214" s="9" t="s">
        <v>280</v>
      </c>
      <c r="B214" s="9" t="s">
        <v>628</v>
      </c>
      <c r="C214" s="9" t="s">
        <v>588</v>
      </c>
      <c r="D214" s="9" t="s">
        <v>630</v>
      </c>
      <c r="E214" s="9" t="n">
        <v>0</v>
      </c>
    </row>
    <row r="215" customFormat="false" ht="15" hidden="false" customHeight="false" outlineLevel="0" collapsed="false">
      <c r="A215" s="9" t="s">
        <v>280</v>
      </c>
      <c r="B215" s="9" t="s">
        <v>628</v>
      </c>
      <c r="C215" s="9" t="s">
        <v>589</v>
      </c>
      <c r="D215" s="9" t="s">
        <v>629</v>
      </c>
      <c r="E215" s="9" t="n">
        <v>0</v>
      </c>
    </row>
    <row r="216" customFormat="false" ht="15" hidden="false" customHeight="false" outlineLevel="0" collapsed="false">
      <c r="A216" s="9" t="s">
        <v>280</v>
      </c>
      <c r="B216" s="9" t="s">
        <v>628</v>
      </c>
      <c r="C216" s="9" t="s">
        <v>590</v>
      </c>
      <c r="D216" s="9" t="s">
        <v>634</v>
      </c>
      <c r="E216" s="9" t="n">
        <v>0</v>
      </c>
    </row>
    <row r="217" customFormat="false" ht="15" hidden="false" customHeight="false" outlineLevel="0" collapsed="false">
      <c r="A217" s="9" t="s">
        <v>280</v>
      </c>
      <c r="B217" s="9" t="s">
        <v>628</v>
      </c>
      <c r="C217" s="9" t="s">
        <v>591</v>
      </c>
      <c r="D217" s="9" t="s">
        <v>630</v>
      </c>
      <c r="E217" s="9" t="n">
        <v>0</v>
      </c>
    </row>
    <row r="218" customFormat="false" ht="15" hidden="false" customHeight="false" outlineLevel="0" collapsed="false">
      <c r="A218" s="9" t="s">
        <v>280</v>
      </c>
      <c r="B218" s="9" t="s">
        <v>628</v>
      </c>
      <c r="C218" s="9" t="s">
        <v>592</v>
      </c>
      <c r="D218" s="9" t="s">
        <v>636</v>
      </c>
      <c r="E218" s="9" t="n">
        <v>0</v>
      </c>
    </row>
    <row r="219" customFormat="false" ht="15" hidden="false" customHeight="false" outlineLevel="0" collapsed="false">
      <c r="A219" s="9" t="s">
        <v>280</v>
      </c>
      <c r="B219" s="9" t="s">
        <v>628</v>
      </c>
      <c r="C219" s="9" t="s">
        <v>593</v>
      </c>
      <c r="D219" s="9" t="s">
        <v>640</v>
      </c>
      <c r="E219" s="9" t="n">
        <v>0</v>
      </c>
    </row>
    <row r="220" customFormat="false" ht="15" hidden="false" customHeight="false" outlineLevel="0" collapsed="false">
      <c r="A220" s="9" t="s">
        <v>280</v>
      </c>
      <c r="B220" s="9" t="s">
        <v>628</v>
      </c>
      <c r="C220" s="9" t="s">
        <v>594</v>
      </c>
      <c r="D220" s="9" t="s">
        <v>641</v>
      </c>
      <c r="E220" s="9" t="n">
        <v>0</v>
      </c>
    </row>
    <row r="221" customFormat="false" ht="15" hidden="false" customHeight="false" outlineLevel="0" collapsed="false">
      <c r="A221" s="9" t="s">
        <v>280</v>
      </c>
      <c r="B221" s="9" t="s">
        <v>628</v>
      </c>
      <c r="C221" s="9" t="s">
        <v>596</v>
      </c>
      <c r="D221" s="9" t="s">
        <v>642</v>
      </c>
      <c r="E221" s="9" t="n">
        <v>0</v>
      </c>
    </row>
    <row r="222" customFormat="false" ht="15" hidden="false" customHeight="false" outlineLevel="0" collapsed="false">
      <c r="A222" s="9" t="s">
        <v>280</v>
      </c>
      <c r="B222" s="9" t="s">
        <v>628</v>
      </c>
      <c r="C222" s="9" t="s">
        <v>598</v>
      </c>
      <c r="D222" s="9" t="s">
        <v>643</v>
      </c>
      <c r="E222" s="9" t="n">
        <v>0</v>
      </c>
    </row>
    <row r="223" customFormat="false" ht="15" hidden="false" customHeight="false" outlineLevel="0" collapsed="false">
      <c r="A223" s="9" t="s">
        <v>280</v>
      </c>
      <c r="B223" s="9" t="s">
        <v>628</v>
      </c>
      <c r="C223" s="9" t="s">
        <v>600</v>
      </c>
      <c r="D223" s="9" t="s">
        <v>644</v>
      </c>
      <c r="E223" s="9" t="n">
        <v>0</v>
      </c>
    </row>
    <row r="224" customFormat="false" ht="15" hidden="false" customHeight="false" outlineLevel="0" collapsed="false">
      <c r="A224" s="9" t="s">
        <v>280</v>
      </c>
      <c r="B224" s="9" t="s">
        <v>628</v>
      </c>
      <c r="C224" s="9" t="s">
        <v>602</v>
      </c>
      <c r="D224" s="9" t="s">
        <v>645</v>
      </c>
      <c r="E224" s="9" t="n">
        <v>0</v>
      </c>
    </row>
    <row r="225" customFormat="false" ht="15" hidden="false" customHeight="false" outlineLevel="0" collapsed="false">
      <c r="A225" s="9" t="s">
        <v>280</v>
      </c>
      <c r="B225" s="9" t="s">
        <v>628</v>
      </c>
      <c r="C225" s="9" t="s">
        <v>604</v>
      </c>
      <c r="D225" s="9" t="s">
        <v>646</v>
      </c>
      <c r="E225" s="9" t="n">
        <v>0</v>
      </c>
    </row>
    <row r="226" customFormat="false" ht="15" hidden="false" customHeight="false" outlineLevel="0" collapsed="false">
      <c r="A226" s="9" t="s">
        <v>280</v>
      </c>
      <c r="B226" s="9" t="s">
        <v>628</v>
      </c>
      <c r="C226" s="9" t="s">
        <v>606</v>
      </c>
      <c r="D226" s="9" t="s">
        <v>647</v>
      </c>
      <c r="E226" s="9" t="n">
        <v>0</v>
      </c>
    </row>
    <row r="227" customFormat="false" ht="15" hidden="false" customHeight="false" outlineLevel="0" collapsed="false">
      <c r="A227" s="9" t="s">
        <v>280</v>
      </c>
      <c r="B227" s="9" t="s">
        <v>628</v>
      </c>
      <c r="C227" s="9" t="s">
        <v>608</v>
      </c>
      <c r="D227" s="9" t="s">
        <v>648</v>
      </c>
      <c r="E227" s="9" t="n">
        <v>0</v>
      </c>
    </row>
    <row r="228" customFormat="false" ht="15" hidden="false" customHeight="false" outlineLevel="0" collapsed="false">
      <c r="A228" s="9" t="s">
        <v>280</v>
      </c>
      <c r="B228" s="9" t="s">
        <v>628</v>
      </c>
      <c r="C228" s="9" t="s">
        <v>610</v>
      </c>
      <c r="D228" s="9" t="s">
        <v>649</v>
      </c>
      <c r="E228" s="9" t="n">
        <v>0</v>
      </c>
    </row>
    <row r="229" customFormat="false" ht="15" hidden="false" customHeight="false" outlineLevel="0" collapsed="false">
      <c r="A229" s="9" t="s">
        <v>280</v>
      </c>
      <c r="B229" s="9" t="s">
        <v>628</v>
      </c>
      <c r="C229" s="9" t="s">
        <v>612</v>
      </c>
      <c r="D229" s="9" t="s">
        <v>650</v>
      </c>
      <c r="E229" s="9" t="n">
        <v>0</v>
      </c>
    </row>
    <row r="230" customFormat="false" ht="15" hidden="false" customHeight="false" outlineLevel="0" collapsed="false">
      <c r="A230" s="9" t="s">
        <v>280</v>
      </c>
      <c r="B230" s="9" t="s">
        <v>628</v>
      </c>
      <c r="C230" s="9" t="s">
        <v>614</v>
      </c>
      <c r="D230" s="9" t="s">
        <v>651</v>
      </c>
      <c r="E230" s="9" t="n">
        <v>0</v>
      </c>
    </row>
    <row r="231" customFormat="false" ht="15" hidden="false" customHeight="false" outlineLevel="0" collapsed="false">
      <c r="A231" s="9" t="s">
        <v>280</v>
      </c>
      <c r="B231" s="9" t="s">
        <v>628</v>
      </c>
      <c r="C231" s="9" t="s">
        <v>616</v>
      </c>
      <c r="D231" s="9" t="s">
        <v>652</v>
      </c>
      <c r="E231" s="9" t="n">
        <v>0</v>
      </c>
    </row>
    <row r="232" customFormat="false" ht="15" hidden="false" customHeight="false" outlineLevel="0" collapsed="false">
      <c r="A232" s="9" t="s">
        <v>280</v>
      </c>
      <c r="B232" s="9" t="s">
        <v>628</v>
      </c>
      <c r="C232" s="9" t="s">
        <v>618</v>
      </c>
      <c r="D232" s="9" t="s">
        <v>653</v>
      </c>
      <c r="E232" s="9" t="n">
        <v>0</v>
      </c>
    </row>
    <row r="233" customFormat="false" ht="15" hidden="false" customHeight="false" outlineLevel="0" collapsed="false">
      <c r="A233" s="9" t="s">
        <v>280</v>
      </c>
      <c r="B233" s="9" t="s">
        <v>628</v>
      </c>
      <c r="C233" s="9" t="s">
        <v>620</v>
      </c>
      <c r="D233" s="9" t="s">
        <v>654</v>
      </c>
      <c r="E233" s="9" t="n">
        <v>0</v>
      </c>
    </row>
    <row r="234" customFormat="false" ht="15" hidden="false" customHeight="false" outlineLevel="0" collapsed="false">
      <c r="A234" s="9" t="s">
        <v>280</v>
      </c>
      <c r="B234" s="9" t="s">
        <v>628</v>
      </c>
      <c r="C234" s="9" t="s">
        <v>622</v>
      </c>
      <c r="D234" s="9" t="s">
        <v>655</v>
      </c>
      <c r="E234" s="9" t="n">
        <v>0</v>
      </c>
    </row>
    <row r="235" customFormat="false" ht="15" hidden="false" customHeight="false" outlineLevel="0" collapsed="false">
      <c r="A235" s="9" t="s">
        <v>280</v>
      </c>
      <c r="B235" s="9" t="s">
        <v>628</v>
      </c>
      <c r="C235" s="9" t="s">
        <v>624</v>
      </c>
      <c r="D235" s="9" t="s">
        <v>656</v>
      </c>
      <c r="E235" s="9" t="n">
        <v>0</v>
      </c>
    </row>
    <row r="236" customFormat="false" ht="15" hidden="false" customHeight="false" outlineLevel="0" collapsed="false">
      <c r="A236" s="9" t="s">
        <v>280</v>
      </c>
      <c r="B236" s="9" t="s">
        <v>628</v>
      </c>
      <c r="C236" s="9" t="s">
        <v>625</v>
      </c>
      <c r="D236" s="9" t="s">
        <v>655</v>
      </c>
      <c r="E236" s="9" t="n">
        <v>0</v>
      </c>
    </row>
    <row r="237" customFormat="false" ht="15" hidden="false" customHeight="false" outlineLevel="0" collapsed="false">
      <c r="A237" s="9" t="s">
        <v>280</v>
      </c>
      <c r="B237" s="9" t="s">
        <v>628</v>
      </c>
      <c r="C237" s="9" t="s">
        <v>626</v>
      </c>
      <c r="D237" s="9" t="s">
        <v>657</v>
      </c>
      <c r="E237" s="9" t="n">
        <v>0</v>
      </c>
    </row>
    <row r="238" customFormat="false" ht="15" hidden="false" customHeight="false" outlineLevel="0" collapsed="false">
      <c r="A238" s="9" t="s">
        <v>280</v>
      </c>
      <c r="B238" s="9" t="s">
        <v>658</v>
      </c>
      <c r="C238" s="9" t="s">
        <v>471</v>
      </c>
      <c r="D238" s="9" t="s">
        <v>283</v>
      </c>
      <c r="E238" s="9" t="n">
        <v>8</v>
      </c>
    </row>
    <row r="239" customFormat="false" ht="15" hidden="false" customHeight="false" outlineLevel="0" collapsed="false">
      <c r="A239" s="9" t="s">
        <v>280</v>
      </c>
      <c r="B239" s="9" t="s">
        <v>658</v>
      </c>
      <c r="C239" s="9" t="s">
        <v>473</v>
      </c>
      <c r="D239" s="9" t="s">
        <v>431</v>
      </c>
      <c r="E239" s="9" t="n">
        <v>77</v>
      </c>
    </row>
    <row r="240" customFormat="false" ht="15" hidden="false" customHeight="false" outlineLevel="0" collapsed="false">
      <c r="A240" s="9" t="s">
        <v>280</v>
      </c>
      <c r="B240" s="9" t="s">
        <v>658</v>
      </c>
      <c r="C240" s="9" t="s">
        <v>475</v>
      </c>
      <c r="D240" s="9" t="s">
        <v>415</v>
      </c>
      <c r="E240" s="9" t="n">
        <v>36</v>
      </c>
    </row>
    <row r="241" customFormat="false" ht="15" hidden="false" customHeight="false" outlineLevel="0" collapsed="false">
      <c r="A241" s="9" t="s">
        <v>280</v>
      </c>
      <c r="B241" s="9" t="s">
        <v>658</v>
      </c>
      <c r="C241" s="9" t="s">
        <v>479</v>
      </c>
      <c r="D241" s="9" t="s">
        <v>285</v>
      </c>
      <c r="E241" s="9" t="n">
        <v>55</v>
      </c>
    </row>
    <row r="242" customFormat="false" ht="15" hidden="false" customHeight="false" outlineLevel="0" collapsed="false">
      <c r="A242" s="9" t="s">
        <v>280</v>
      </c>
      <c r="B242" s="9" t="s">
        <v>658</v>
      </c>
      <c r="C242" s="9" t="s">
        <v>481</v>
      </c>
      <c r="D242" s="9" t="s">
        <v>413</v>
      </c>
      <c r="E242" s="9" t="n">
        <v>122</v>
      </c>
    </row>
    <row r="243" customFormat="false" ht="15" hidden="false" customHeight="false" outlineLevel="0" collapsed="false">
      <c r="A243" s="9" t="s">
        <v>280</v>
      </c>
      <c r="B243" s="9" t="s">
        <v>658</v>
      </c>
      <c r="C243" s="9" t="s">
        <v>483</v>
      </c>
      <c r="D243" s="9" t="s">
        <v>413</v>
      </c>
      <c r="E243" s="9" t="n">
        <v>151</v>
      </c>
    </row>
    <row r="244" customFormat="false" ht="15" hidden="false" customHeight="false" outlineLevel="0" collapsed="false">
      <c r="A244" s="9" t="s">
        <v>280</v>
      </c>
      <c r="B244" s="9" t="s">
        <v>658</v>
      </c>
      <c r="C244" s="9" t="s">
        <v>491</v>
      </c>
      <c r="D244" s="9" t="s">
        <v>405</v>
      </c>
      <c r="E244" s="9" t="n">
        <v>82</v>
      </c>
    </row>
    <row r="245" customFormat="false" ht="15" hidden="false" customHeight="false" outlineLevel="0" collapsed="false">
      <c r="A245" s="9" t="s">
        <v>280</v>
      </c>
      <c r="B245" s="9" t="s">
        <v>658</v>
      </c>
      <c r="C245" s="9" t="s">
        <v>457</v>
      </c>
      <c r="D245" s="9" t="s">
        <v>659</v>
      </c>
      <c r="E245" s="9" t="n">
        <v>75</v>
      </c>
    </row>
    <row r="246" customFormat="false" ht="15" hidden="false" customHeight="false" outlineLevel="0" collapsed="false">
      <c r="A246" s="9" t="s">
        <v>280</v>
      </c>
      <c r="B246" s="9" t="s">
        <v>658</v>
      </c>
      <c r="C246" s="9" t="s">
        <v>465</v>
      </c>
      <c r="D246" s="9" t="s">
        <v>660</v>
      </c>
      <c r="E246" s="9" t="n">
        <v>12</v>
      </c>
    </row>
    <row r="247" customFormat="false" ht="15" hidden="false" customHeight="false" outlineLevel="0" collapsed="false">
      <c r="A247" s="9" t="s">
        <v>280</v>
      </c>
      <c r="B247" s="9" t="s">
        <v>658</v>
      </c>
      <c r="C247" s="9" t="s">
        <v>496</v>
      </c>
      <c r="D247" s="9" t="s">
        <v>660</v>
      </c>
      <c r="E247" s="9" t="n">
        <v>0</v>
      </c>
    </row>
    <row r="248" customFormat="false" ht="15" hidden="false" customHeight="false" outlineLevel="0" collapsed="false">
      <c r="A248" s="9" t="s">
        <v>280</v>
      </c>
      <c r="B248" s="9" t="s">
        <v>658</v>
      </c>
      <c r="C248" s="9" t="s">
        <v>507</v>
      </c>
      <c r="D248" s="9" t="s">
        <v>645</v>
      </c>
      <c r="E248" s="9" t="n">
        <v>8</v>
      </c>
    </row>
    <row r="249" customFormat="false" ht="15" hidden="false" customHeight="false" outlineLevel="0" collapsed="false">
      <c r="A249" s="9" t="s">
        <v>280</v>
      </c>
      <c r="B249" s="9" t="s">
        <v>658</v>
      </c>
      <c r="C249" s="9" t="s">
        <v>509</v>
      </c>
      <c r="D249" s="9" t="s">
        <v>661</v>
      </c>
      <c r="E249" s="9" t="n">
        <v>14</v>
      </c>
    </row>
    <row r="250" customFormat="false" ht="15" hidden="false" customHeight="false" outlineLevel="0" collapsed="false">
      <c r="A250" s="9" t="s">
        <v>280</v>
      </c>
      <c r="B250" s="9" t="s">
        <v>658</v>
      </c>
      <c r="C250" s="9" t="s">
        <v>499</v>
      </c>
      <c r="D250" s="9" t="s">
        <v>647</v>
      </c>
      <c r="E250" s="9" t="n">
        <v>4</v>
      </c>
    </row>
    <row r="251" customFormat="false" ht="15" hidden="false" customHeight="false" outlineLevel="0" collapsed="false">
      <c r="A251" s="9" t="s">
        <v>280</v>
      </c>
      <c r="B251" s="9" t="s">
        <v>658</v>
      </c>
      <c r="C251" s="9" t="s">
        <v>501</v>
      </c>
      <c r="D251" s="9" t="s">
        <v>662</v>
      </c>
      <c r="E251" s="9" t="n">
        <v>4</v>
      </c>
    </row>
    <row r="252" customFormat="false" ht="15" hidden="false" customHeight="false" outlineLevel="0" collapsed="false">
      <c r="A252" s="9" t="s">
        <v>280</v>
      </c>
      <c r="B252" s="9" t="s">
        <v>658</v>
      </c>
      <c r="C252" s="9" t="s">
        <v>497</v>
      </c>
      <c r="D252" s="9" t="s">
        <v>655</v>
      </c>
      <c r="E252" s="9" t="n">
        <v>4</v>
      </c>
    </row>
    <row r="253" customFormat="false" ht="15" hidden="false" customHeight="false" outlineLevel="0" collapsed="false">
      <c r="A253" s="9" t="s">
        <v>280</v>
      </c>
      <c r="B253" s="9" t="s">
        <v>658</v>
      </c>
      <c r="C253" s="9" t="s">
        <v>498</v>
      </c>
      <c r="D253" s="9" t="s">
        <v>663</v>
      </c>
      <c r="E253" s="9" t="n">
        <v>4</v>
      </c>
    </row>
    <row r="254" customFormat="false" ht="15" hidden="false" customHeight="false" outlineLevel="0" collapsed="false">
      <c r="A254" s="9" t="s">
        <v>280</v>
      </c>
      <c r="B254" s="9" t="s">
        <v>658</v>
      </c>
      <c r="C254" s="9" t="s">
        <v>503</v>
      </c>
      <c r="D254" s="9" t="s">
        <v>664</v>
      </c>
      <c r="E254" s="9" t="n">
        <v>5</v>
      </c>
    </row>
    <row r="255" customFormat="false" ht="15" hidden="false" customHeight="false" outlineLevel="0" collapsed="false">
      <c r="A255" s="9" t="s">
        <v>280</v>
      </c>
      <c r="B255" s="9" t="s">
        <v>658</v>
      </c>
      <c r="C255" s="9" t="s">
        <v>505</v>
      </c>
      <c r="D255" s="9" t="s">
        <v>665</v>
      </c>
      <c r="E255" s="9" t="n">
        <v>21</v>
      </c>
    </row>
    <row r="256" customFormat="false" ht="15" hidden="false" customHeight="false" outlineLevel="0" collapsed="false">
      <c r="A256" s="9" t="s">
        <v>280</v>
      </c>
      <c r="B256" s="9" t="s">
        <v>658</v>
      </c>
      <c r="C256" s="9" t="s">
        <v>511</v>
      </c>
      <c r="D256" s="9" t="s">
        <v>655</v>
      </c>
      <c r="E256" s="9" t="n">
        <v>11</v>
      </c>
    </row>
    <row r="257" customFormat="false" ht="15" hidden="false" customHeight="false" outlineLevel="0" collapsed="false">
      <c r="A257" s="9" t="s">
        <v>280</v>
      </c>
      <c r="B257" s="9" t="s">
        <v>658</v>
      </c>
      <c r="C257" s="9" t="s">
        <v>513</v>
      </c>
      <c r="D257" s="9" t="s">
        <v>656</v>
      </c>
      <c r="E257" s="9" t="n">
        <v>9</v>
      </c>
    </row>
    <row r="258" customFormat="false" ht="15" hidden="false" customHeight="false" outlineLevel="0" collapsed="false">
      <c r="A258" s="9" t="s">
        <v>280</v>
      </c>
      <c r="B258" s="9" t="s">
        <v>658</v>
      </c>
      <c r="C258" s="9" t="s">
        <v>515</v>
      </c>
      <c r="D258" s="9" t="s">
        <v>651</v>
      </c>
      <c r="E258" s="9" t="n">
        <v>11</v>
      </c>
    </row>
    <row r="259" customFormat="false" ht="15" hidden="false" customHeight="false" outlineLevel="0" collapsed="false">
      <c r="A259" s="9" t="s">
        <v>280</v>
      </c>
      <c r="B259" s="9" t="s">
        <v>658</v>
      </c>
      <c r="C259" s="9" t="s">
        <v>517</v>
      </c>
      <c r="D259" s="9" t="s">
        <v>666</v>
      </c>
      <c r="E259" s="9" t="n">
        <v>23</v>
      </c>
    </row>
    <row r="260" customFormat="false" ht="15" hidden="false" customHeight="false" outlineLevel="0" collapsed="false">
      <c r="A260" s="9" t="s">
        <v>280</v>
      </c>
      <c r="B260" s="9" t="s">
        <v>658</v>
      </c>
      <c r="C260" s="9" t="s">
        <v>519</v>
      </c>
      <c r="D260" s="9" t="s">
        <v>667</v>
      </c>
      <c r="E260" s="9" t="n">
        <v>2</v>
      </c>
    </row>
    <row r="261" customFormat="false" ht="15" hidden="false" customHeight="false" outlineLevel="0" collapsed="false">
      <c r="A261" s="9" t="s">
        <v>280</v>
      </c>
      <c r="B261" s="9" t="s">
        <v>658</v>
      </c>
      <c r="C261" s="9" t="s">
        <v>521</v>
      </c>
      <c r="D261" s="9" t="s">
        <v>668</v>
      </c>
      <c r="E261" s="9" t="n">
        <v>2</v>
      </c>
    </row>
    <row r="262" customFormat="false" ht="15" hidden="false" customHeight="false" outlineLevel="0" collapsed="false">
      <c r="A262" s="9" t="s">
        <v>280</v>
      </c>
      <c r="B262" s="9" t="s">
        <v>658</v>
      </c>
      <c r="C262" s="9" t="s">
        <v>523</v>
      </c>
      <c r="D262" s="9" t="s">
        <v>669</v>
      </c>
      <c r="E262" s="9" t="n">
        <v>3</v>
      </c>
    </row>
    <row r="263" customFormat="false" ht="15" hidden="false" customHeight="false" outlineLevel="0" collapsed="false">
      <c r="A263" s="9" t="s">
        <v>280</v>
      </c>
      <c r="B263" s="9" t="s">
        <v>658</v>
      </c>
      <c r="C263" s="9" t="s">
        <v>525</v>
      </c>
      <c r="D263" s="9" t="s">
        <v>670</v>
      </c>
      <c r="E263" s="9" t="n">
        <v>1</v>
      </c>
    </row>
    <row r="264" customFormat="false" ht="15" hidden="false" customHeight="false" outlineLevel="0" collapsed="false">
      <c r="A264" s="9" t="s">
        <v>280</v>
      </c>
      <c r="B264" s="9" t="s">
        <v>658</v>
      </c>
      <c r="C264" s="9" t="s">
        <v>527</v>
      </c>
      <c r="D264" s="9" t="s">
        <v>671</v>
      </c>
      <c r="E264" s="9" t="n">
        <v>1</v>
      </c>
    </row>
    <row r="265" customFormat="false" ht="15" hidden="false" customHeight="false" outlineLevel="0" collapsed="false">
      <c r="A265" s="9" t="s">
        <v>280</v>
      </c>
      <c r="B265" s="9" t="s">
        <v>658</v>
      </c>
      <c r="C265" s="9" t="s">
        <v>529</v>
      </c>
      <c r="D265" s="9" t="s">
        <v>656</v>
      </c>
      <c r="E265" s="9" t="n">
        <v>3</v>
      </c>
    </row>
    <row r="266" customFormat="false" ht="15" hidden="false" customHeight="false" outlineLevel="0" collapsed="false">
      <c r="A266" s="9" t="s">
        <v>280</v>
      </c>
      <c r="B266" s="9" t="s">
        <v>672</v>
      </c>
      <c r="C266" s="9" t="s">
        <v>673</v>
      </c>
      <c r="D266" s="9" t="s">
        <v>674</v>
      </c>
      <c r="E266" s="9" t="n">
        <v>0</v>
      </c>
    </row>
    <row r="267" customFormat="false" ht="15" hidden="false" customHeight="false" outlineLevel="0" collapsed="false">
      <c r="A267" s="9" t="s">
        <v>280</v>
      </c>
      <c r="B267" s="9" t="s">
        <v>672</v>
      </c>
      <c r="C267" s="9" t="s">
        <v>675</v>
      </c>
      <c r="D267" s="9" t="s">
        <v>488</v>
      </c>
      <c r="E267" s="9" t="n">
        <v>0</v>
      </c>
    </row>
    <row r="268" customFormat="false" ht="15" hidden="false" customHeight="false" outlineLevel="0" collapsed="false">
      <c r="A268" s="9" t="s">
        <v>280</v>
      </c>
      <c r="B268" s="9" t="s">
        <v>672</v>
      </c>
      <c r="C268" s="9" t="s">
        <v>676</v>
      </c>
      <c r="D268" s="9" t="s">
        <v>677</v>
      </c>
      <c r="E268" s="9" t="n">
        <v>0</v>
      </c>
    </row>
    <row r="269" customFormat="false" ht="15" hidden="false" customHeight="false" outlineLevel="0" collapsed="false">
      <c r="A269" s="9" t="s">
        <v>280</v>
      </c>
      <c r="B269" s="9" t="s">
        <v>672</v>
      </c>
      <c r="C269" s="9" t="s">
        <v>678</v>
      </c>
      <c r="D269" s="9" t="s">
        <v>679</v>
      </c>
      <c r="E269" s="9" t="n">
        <v>0</v>
      </c>
    </row>
    <row r="270" customFormat="false" ht="15" hidden="false" customHeight="false" outlineLevel="0" collapsed="false">
      <c r="A270" s="9" t="s">
        <v>280</v>
      </c>
      <c r="B270" s="9" t="s">
        <v>672</v>
      </c>
      <c r="C270" s="9" t="s">
        <v>680</v>
      </c>
      <c r="D270" s="9" t="s">
        <v>681</v>
      </c>
      <c r="E270" s="9" t="n">
        <v>0</v>
      </c>
    </row>
    <row r="271" customFormat="false" ht="15" hidden="false" customHeight="false" outlineLevel="0" collapsed="false">
      <c r="A271" s="9" t="s">
        <v>280</v>
      </c>
      <c r="B271" s="9" t="s">
        <v>672</v>
      </c>
      <c r="C271" s="9" t="s">
        <v>682</v>
      </c>
      <c r="D271" s="9" t="s">
        <v>683</v>
      </c>
      <c r="E271" s="9" t="n">
        <v>0</v>
      </c>
    </row>
    <row r="272" customFormat="false" ht="15" hidden="false" customHeight="false" outlineLevel="0" collapsed="false">
      <c r="A272" s="9" t="s">
        <v>280</v>
      </c>
      <c r="B272" s="9" t="s">
        <v>672</v>
      </c>
      <c r="C272" s="9" t="s">
        <v>684</v>
      </c>
      <c r="D272" s="9" t="s">
        <v>685</v>
      </c>
      <c r="E272" s="9" t="n">
        <v>0</v>
      </c>
    </row>
    <row r="273" customFormat="false" ht="15" hidden="false" customHeight="false" outlineLevel="0" collapsed="false">
      <c r="A273" s="9" t="s">
        <v>280</v>
      </c>
      <c r="B273" s="9" t="s">
        <v>672</v>
      </c>
      <c r="C273" s="9" t="s">
        <v>686</v>
      </c>
      <c r="D273" s="9" t="s">
        <v>687</v>
      </c>
      <c r="E273" s="9" t="n">
        <v>0</v>
      </c>
    </row>
    <row r="274" customFormat="false" ht="15" hidden="false" customHeight="false" outlineLevel="0" collapsed="false">
      <c r="A274" s="9" t="s">
        <v>280</v>
      </c>
      <c r="B274" s="9" t="s">
        <v>672</v>
      </c>
      <c r="C274" s="9" t="s">
        <v>688</v>
      </c>
      <c r="D274" s="9" t="s">
        <v>689</v>
      </c>
      <c r="E274" s="9" t="n">
        <v>0</v>
      </c>
    </row>
    <row r="275" customFormat="false" ht="15" hidden="false" customHeight="false" outlineLevel="0" collapsed="false">
      <c r="A275" s="9" t="s">
        <v>280</v>
      </c>
      <c r="B275" s="9" t="s">
        <v>672</v>
      </c>
      <c r="C275" s="9" t="s">
        <v>690</v>
      </c>
      <c r="D275" s="9" t="s">
        <v>685</v>
      </c>
      <c r="E275" s="9" t="n">
        <v>0</v>
      </c>
    </row>
    <row r="276" customFormat="false" ht="15" hidden="false" customHeight="false" outlineLevel="0" collapsed="false">
      <c r="A276" s="9" t="s">
        <v>280</v>
      </c>
      <c r="B276" s="9" t="s">
        <v>672</v>
      </c>
      <c r="C276" s="9" t="s">
        <v>691</v>
      </c>
      <c r="D276" s="9" t="s">
        <v>488</v>
      </c>
      <c r="E276" s="9" t="n">
        <v>0</v>
      </c>
    </row>
    <row r="277" customFormat="false" ht="15" hidden="false" customHeight="false" outlineLevel="0" collapsed="false">
      <c r="A277" s="9" t="s">
        <v>280</v>
      </c>
      <c r="B277" s="9" t="s">
        <v>672</v>
      </c>
      <c r="C277" s="9" t="s">
        <v>692</v>
      </c>
      <c r="D277" s="9" t="s">
        <v>693</v>
      </c>
      <c r="E277" s="9" t="n">
        <v>0</v>
      </c>
    </row>
    <row r="278" customFormat="false" ht="15" hidden="false" customHeight="false" outlineLevel="0" collapsed="false">
      <c r="A278" s="9" t="s">
        <v>280</v>
      </c>
      <c r="B278" s="9" t="s">
        <v>672</v>
      </c>
      <c r="C278" s="9" t="s">
        <v>694</v>
      </c>
      <c r="D278" s="9" t="s">
        <v>695</v>
      </c>
      <c r="E278" s="9" t="n">
        <v>0</v>
      </c>
    </row>
    <row r="279" customFormat="false" ht="15" hidden="false" customHeight="false" outlineLevel="0" collapsed="false">
      <c r="A279" s="9" t="s">
        <v>280</v>
      </c>
      <c r="B279" s="9" t="s">
        <v>672</v>
      </c>
      <c r="C279" s="9" t="s">
        <v>696</v>
      </c>
      <c r="D279" s="9" t="s">
        <v>697</v>
      </c>
      <c r="E279" s="9" t="n">
        <v>0</v>
      </c>
    </row>
    <row r="280" customFormat="false" ht="15" hidden="false" customHeight="false" outlineLevel="0" collapsed="false">
      <c r="A280" s="9" t="s">
        <v>280</v>
      </c>
      <c r="B280" s="9" t="s">
        <v>672</v>
      </c>
      <c r="C280" s="9" t="s">
        <v>698</v>
      </c>
      <c r="D280" s="9" t="s">
        <v>699</v>
      </c>
      <c r="E280" s="9" t="n">
        <v>0</v>
      </c>
    </row>
    <row r="281" customFormat="false" ht="15" hidden="false" customHeight="false" outlineLevel="0" collapsed="false">
      <c r="A281" s="9" t="s">
        <v>280</v>
      </c>
      <c r="B281" s="9" t="s">
        <v>672</v>
      </c>
      <c r="C281" s="9" t="s">
        <v>700</v>
      </c>
      <c r="D281" s="9" t="s">
        <v>701</v>
      </c>
      <c r="E281" s="9" t="n">
        <v>0</v>
      </c>
    </row>
    <row r="282" customFormat="false" ht="15" hidden="false" customHeight="false" outlineLevel="0" collapsed="false">
      <c r="A282" s="9" t="s">
        <v>280</v>
      </c>
      <c r="B282" s="9" t="s">
        <v>672</v>
      </c>
      <c r="C282" s="9" t="s">
        <v>702</v>
      </c>
      <c r="D282" s="9" t="s">
        <v>703</v>
      </c>
      <c r="E282" s="9" t="n">
        <v>0</v>
      </c>
    </row>
    <row r="283" customFormat="false" ht="15" hidden="false" customHeight="false" outlineLevel="0" collapsed="false">
      <c r="A283" s="9" t="s">
        <v>280</v>
      </c>
      <c r="B283" s="9" t="s">
        <v>672</v>
      </c>
      <c r="C283" s="9" t="s">
        <v>704</v>
      </c>
      <c r="D283" s="9" t="s">
        <v>705</v>
      </c>
      <c r="E283" s="9" t="n">
        <v>0</v>
      </c>
    </row>
    <row r="284" customFormat="false" ht="15" hidden="false" customHeight="false" outlineLevel="0" collapsed="false">
      <c r="A284" s="9" t="s">
        <v>280</v>
      </c>
      <c r="B284" s="9" t="s">
        <v>672</v>
      </c>
      <c r="C284" s="9" t="s">
        <v>706</v>
      </c>
      <c r="D284" s="9" t="s">
        <v>707</v>
      </c>
      <c r="E284" s="9" t="n">
        <v>0</v>
      </c>
    </row>
    <row r="285" customFormat="false" ht="15" hidden="false" customHeight="false" outlineLevel="0" collapsed="false">
      <c r="A285" s="9" t="s">
        <v>280</v>
      </c>
      <c r="B285" s="9" t="s">
        <v>672</v>
      </c>
      <c r="C285" s="9" t="s">
        <v>708</v>
      </c>
      <c r="D285" s="9" t="s">
        <v>532</v>
      </c>
      <c r="E285" s="9" t="n">
        <v>0</v>
      </c>
    </row>
    <row r="286" customFormat="false" ht="15" hidden="false" customHeight="false" outlineLevel="0" collapsed="false">
      <c r="A286" s="9" t="s">
        <v>280</v>
      </c>
      <c r="B286" s="9" t="s">
        <v>672</v>
      </c>
      <c r="C286" s="9" t="s">
        <v>709</v>
      </c>
      <c r="D286" s="9" t="s">
        <v>710</v>
      </c>
      <c r="E286" s="9" t="n">
        <v>0</v>
      </c>
    </row>
    <row r="287" customFormat="false" ht="15" hidden="false" customHeight="false" outlineLevel="0" collapsed="false">
      <c r="A287" s="9" t="s">
        <v>280</v>
      </c>
      <c r="B287" s="9" t="s">
        <v>672</v>
      </c>
      <c r="C287" s="9" t="s">
        <v>711</v>
      </c>
      <c r="D287" s="9" t="s">
        <v>712</v>
      </c>
      <c r="E287" s="9" t="n">
        <v>0</v>
      </c>
    </row>
    <row r="288" customFormat="false" ht="15" hidden="false" customHeight="false" outlineLevel="0" collapsed="false">
      <c r="A288" s="9" t="s">
        <v>280</v>
      </c>
      <c r="B288" s="9" t="s">
        <v>672</v>
      </c>
      <c r="C288" s="9" t="s">
        <v>713</v>
      </c>
      <c r="D288" s="9" t="s">
        <v>714</v>
      </c>
      <c r="E288" s="9" t="n">
        <v>0</v>
      </c>
    </row>
    <row r="289" customFormat="false" ht="15" hidden="false" customHeight="false" outlineLevel="0" collapsed="false">
      <c r="A289" s="9" t="s">
        <v>280</v>
      </c>
      <c r="B289" s="9" t="s">
        <v>672</v>
      </c>
      <c r="C289" s="9" t="s">
        <v>715</v>
      </c>
      <c r="D289" s="9" t="s">
        <v>526</v>
      </c>
      <c r="E289" s="9" t="n">
        <v>0</v>
      </c>
    </row>
    <row r="290" customFormat="false" ht="15" hidden="false" customHeight="false" outlineLevel="0" collapsed="false">
      <c r="A290" s="9" t="s">
        <v>280</v>
      </c>
      <c r="B290" s="9" t="s">
        <v>672</v>
      </c>
      <c r="C290" s="9" t="s">
        <v>716</v>
      </c>
      <c r="D290" s="9" t="s">
        <v>717</v>
      </c>
      <c r="E290" s="9" t="n">
        <v>0</v>
      </c>
    </row>
    <row r="291" customFormat="false" ht="15" hidden="false" customHeight="false" outlineLevel="0" collapsed="false">
      <c r="A291" s="9" t="s">
        <v>280</v>
      </c>
      <c r="B291" s="9" t="s">
        <v>672</v>
      </c>
      <c r="C291" s="9" t="s">
        <v>718</v>
      </c>
      <c r="D291" s="9" t="s">
        <v>719</v>
      </c>
      <c r="E291" s="9" t="n">
        <v>0</v>
      </c>
    </row>
    <row r="292" customFormat="false" ht="15" hidden="false" customHeight="false" outlineLevel="0" collapsed="false">
      <c r="A292" s="9" t="s">
        <v>280</v>
      </c>
      <c r="B292" s="9" t="s">
        <v>672</v>
      </c>
      <c r="C292" s="9" t="s">
        <v>720</v>
      </c>
      <c r="D292" s="9" t="s">
        <v>721</v>
      </c>
      <c r="E292" s="9" t="n">
        <v>0</v>
      </c>
    </row>
    <row r="293" customFormat="false" ht="15" hidden="false" customHeight="false" outlineLevel="0" collapsed="false">
      <c r="A293" s="9" t="s">
        <v>280</v>
      </c>
      <c r="B293" s="9" t="s">
        <v>672</v>
      </c>
      <c r="C293" s="9" t="s">
        <v>722</v>
      </c>
      <c r="D293" s="9" t="s">
        <v>723</v>
      </c>
      <c r="E293" s="9" t="n">
        <v>0</v>
      </c>
    </row>
    <row r="294" customFormat="false" ht="15" hidden="false" customHeight="false" outlineLevel="0" collapsed="false">
      <c r="A294" s="9" t="s">
        <v>280</v>
      </c>
      <c r="B294" s="9" t="s">
        <v>672</v>
      </c>
      <c r="C294" s="9" t="s">
        <v>724</v>
      </c>
      <c r="D294" s="9" t="s">
        <v>725</v>
      </c>
      <c r="E294" s="9" t="n">
        <v>0</v>
      </c>
    </row>
    <row r="295" customFormat="false" ht="15" hidden="false" customHeight="false" outlineLevel="0" collapsed="false">
      <c r="A295" s="9" t="s">
        <v>280</v>
      </c>
      <c r="B295" s="9" t="s">
        <v>672</v>
      </c>
      <c r="C295" s="9" t="s">
        <v>726</v>
      </c>
      <c r="D295" s="9" t="s">
        <v>681</v>
      </c>
      <c r="E295" s="9" t="n">
        <v>0</v>
      </c>
    </row>
    <row r="296" customFormat="false" ht="15" hidden="false" customHeight="false" outlineLevel="0" collapsed="false">
      <c r="A296" s="9" t="s">
        <v>280</v>
      </c>
      <c r="B296" s="9" t="s">
        <v>672</v>
      </c>
      <c r="C296" s="9" t="s">
        <v>727</v>
      </c>
      <c r="D296" s="9" t="s">
        <v>689</v>
      </c>
      <c r="E296" s="9" t="n">
        <v>0</v>
      </c>
    </row>
    <row r="297" customFormat="false" ht="15" hidden="false" customHeight="false" outlineLevel="0" collapsed="false">
      <c r="A297" s="9" t="s">
        <v>280</v>
      </c>
      <c r="B297" s="9" t="s">
        <v>672</v>
      </c>
      <c r="C297" s="9" t="s">
        <v>728</v>
      </c>
      <c r="D297" s="9" t="s">
        <v>729</v>
      </c>
      <c r="E297" s="9" t="n">
        <v>0</v>
      </c>
    </row>
    <row r="298" customFormat="false" ht="15" hidden="false" customHeight="false" outlineLevel="0" collapsed="false">
      <c r="A298" s="9" t="s">
        <v>280</v>
      </c>
      <c r="B298" s="9" t="s">
        <v>672</v>
      </c>
      <c r="C298" s="9" t="s">
        <v>730</v>
      </c>
      <c r="D298" s="9" t="s">
        <v>731</v>
      </c>
      <c r="E298" s="9" t="n">
        <v>0</v>
      </c>
    </row>
    <row r="299" customFormat="false" ht="15" hidden="false" customHeight="false" outlineLevel="0" collapsed="false">
      <c r="A299" s="9" t="s">
        <v>280</v>
      </c>
      <c r="B299" s="9" t="s">
        <v>672</v>
      </c>
      <c r="C299" s="9" t="s">
        <v>732</v>
      </c>
      <c r="D299" s="9" t="s">
        <v>733</v>
      </c>
      <c r="E299" s="9" t="n">
        <v>0</v>
      </c>
    </row>
    <row r="300" customFormat="false" ht="15" hidden="false" customHeight="false" outlineLevel="0" collapsed="false">
      <c r="A300" s="9" t="s">
        <v>280</v>
      </c>
      <c r="B300" s="9" t="s">
        <v>672</v>
      </c>
      <c r="C300" s="9" t="s">
        <v>734</v>
      </c>
      <c r="D300" s="9" t="s">
        <v>735</v>
      </c>
      <c r="E300" s="9" t="n">
        <v>0</v>
      </c>
    </row>
    <row r="301" customFormat="false" ht="15" hidden="false" customHeight="false" outlineLevel="0" collapsed="false">
      <c r="A301" s="9" t="s">
        <v>280</v>
      </c>
      <c r="B301" s="9" t="s">
        <v>672</v>
      </c>
      <c r="C301" s="9" t="s">
        <v>736</v>
      </c>
      <c r="D301" s="9" t="s">
        <v>737</v>
      </c>
      <c r="E301" s="9" t="n">
        <v>0</v>
      </c>
    </row>
    <row r="302" customFormat="false" ht="15" hidden="false" customHeight="false" outlineLevel="0" collapsed="false">
      <c r="A302" s="9" t="s">
        <v>280</v>
      </c>
      <c r="B302" s="9" t="s">
        <v>672</v>
      </c>
      <c r="C302" s="9" t="s">
        <v>738</v>
      </c>
      <c r="D302" s="9" t="s">
        <v>739</v>
      </c>
      <c r="E302" s="9" t="n">
        <v>0</v>
      </c>
    </row>
    <row r="303" customFormat="false" ht="15" hidden="false" customHeight="false" outlineLevel="0" collapsed="false">
      <c r="A303" s="9" t="s">
        <v>280</v>
      </c>
      <c r="B303" s="9" t="s">
        <v>672</v>
      </c>
      <c r="C303" s="9" t="s">
        <v>740</v>
      </c>
      <c r="D303" s="9" t="s">
        <v>741</v>
      </c>
      <c r="E303" s="9" t="n">
        <v>0</v>
      </c>
    </row>
    <row r="304" customFormat="false" ht="15" hidden="false" customHeight="false" outlineLevel="0" collapsed="false">
      <c r="A304" s="9" t="s">
        <v>280</v>
      </c>
      <c r="B304" s="9" t="s">
        <v>742</v>
      </c>
      <c r="C304" s="9" t="s">
        <v>736</v>
      </c>
      <c r="D304" s="9" t="s">
        <v>743</v>
      </c>
      <c r="E304" s="9" t="n">
        <v>0</v>
      </c>
    </row>
    <row r="305" customFormat="false" ht="15" hidden="false" customHeight="false" outlineLevel="0" collapsed="false">
      <c r="A305" s="9" t="s">
        <v>280</v>
      </c>
      <c r="B305" s="9" t="s">
        <v>742</v>
      </c>
      <c r="C305" s="9" t="s">
        <v>738</v>
      </c>
      <c r="D305" s="9" t="s">
        <v>744</v>
      </c>
      <c r="E305" s="9" t="n">
        <v>0</v>
      </c>
    </row>
    <row r="306" customFormat="false" ht="15" hidden="false" customHeight="false" outlineLevel="0" collapsed="false">
      <c r="A306" s="9" t="s">
        <v>280</v>
      </c>
      <c r="B306" s="9" t="s">
        <v>742</v>
      </c>
      <c r="C306" s="9" t="s">
        <v>740</v>
      </c>
      <c r="D306" s="9" t="s">
        <v>745</v>
      </c>
      <c r="E306" s="9" t="n">
        <v>0</v>
      </c>
    </row>
    <row r="307" customFormat="false" ht="15" hidden="false" customHeight="false" outlineLevel="0" collapsed="false">
      <c r="A307" s="9" t="s">
        <v>280</v>
      </c>
      <c r="B307" s="9" t="s">
        <v>746</v>
      </c>
      <c r="C307" s="9" t="s">
        <v>736</v>
      </c>
      <c r="D307" s="9" t="s">
        <v>737</v>
      </c>
      <c r="E307" s="9" t="n">
        <v>0</v>
      </c>
    </row>
    <row r="308" customFormat="false" ht="15" hidden="false" customHeight="false" outlineLevel="0" collapsed="false">
      <c r="A308" s="9" t="s">
        <v>280</v>
      </c>
      <c r="B308" s="9" t="s">
        <v>746</v>
      </c>
      <c r="C308" s="9" t="s">
        <v>738</v>
      </c>
      <c r="D308" s="9" t="s">
        <v>739</v>
      </c>
      <c r="E308" s="9" t="n">
        <v>0</v>
      </c>
    </row>
    <row r="309" customFormat="false" ht="15" hidden="false" customHeight="false" outlineLevel="0" collapsed="false">
      <c r="A309" s="9" t="s">
        <v>280</v>
      </c>
      <c r="B309" s="9" t="s">
        <v>746</v>
      </c>
      <c r="C309" s="9" t="s">
        <v>740</v>
      </c>
      <c r="D309" s="9" t="s">
        <v>741</v>
      </c>
      <c r="E309" s="9" t="n">
        <v>0</v>
      </c>
    </row>
    <row r="310" customFormat="false" ht="15" hidden="false" customHeight="false" outlineLevel="0" collapsed="false">
      <c r="A310" s="9" t="s">
        <v>280</v>
      </c>
      <c r="B310" s="9" t="s">
        <v>747</v>
      </c>
      <c r="C310" s="9" t="s">
        <v>736</v>
      </c>
      <c r="D310" s="9" t="s">
        <v>748</v>
      </c>
      <c r="E310" s="9" t="n">
        <v>0</v>
      </c>
    </row>
    <row r="311" customFormat="false" ht="15" hidden="false" customHeight="false" outlineLevel="0" collapsed="false">
      <c r="A311" s="9" t="s">
        <v>280</v>
      </c>
      <c r="B311" s="9" t="s">
        <v>747</v>
      </c>
      <c r="C311" s="9" t="s">
        <v>738</v>
      </c>
      <c r="D311" s="9" t="s">
        <v>743</v>
      </c>
      <c r="E311" s="9" t="n">
        <v>0</v>
      </c>
    </row>
    <row r="312" customFormat="false" ht="15" hidden="false" customHeight="false" outlineLevel="0" collapsed="false">
      <c r="A312" s="9" t="s">
        <v>280</v>
      </c>
      <c r="B312" s="9" t="s">
        <v>747</v>
      </c>
      <c r="C312" s="9" t="s">
        <v>740</v>
      </c>
      <c r="D312" s="9" t="s">
        <v>749</v>
      </c>
      <c r="E312" s="9" t="n">
        <v>0</v>
      </c>
    </row>
    <row r="313" customFormat="false" ht="15" hidden="false" customHeight="false" outlineLevel="0" collapsed="false">
      <c r="A313" s="9" t="s">
        <v>280</v>
      </c>
      <c r="B313" s="9" t="s">
        <v>750</v>
      </c>
      <c r="C313" s="9" t="s">
        <v>673</v>
      </c>
      <c r="D313" s="9" t="s">
        <v>685</v>
      </c>
      <c r="E313" s="9" t="n">
        <v>0</v>
      </c>
    </row>
    <row r="314" customFormat="false" ht="15" hidden="false" customHeight="false" outlineLevel="0" collapsed="false">
      <c r="A314" s="9" t="s">
        <v>280</v>
      </c>
      <c r="B314" s="9" t="s">
        <v>750</v>
      </c>
      <c r="C314" s="9" t="s">
        <v>675</v>
      </c>
      <c r="D314" s="9" t="s">
        <v>751</v>
      </c>
      <c r="E314" s="9" t="n">
        <v>0</v>
      </c>
    </row>
    <row r="315" customFormat="false" ht="15" hidden="false" customHeight="false" outlineLevel="0" collapsed="false">
      <c r="A315" s="9" t="s">
        <v>280</v>
      </c>
      <c r="B315" s="9" t="s">
        <v>750</v>
      </c>
      <c r="C315" s="9" t="s">
        <v>676</v>
      </c>
      <c r="D315" s="9" t="s">
        <v>752</v>
      </c>
      <c r="E315" s="9" t="n">
        <v>0</v>
      </c>
    </row>
    <row r="316" customFormat="false" ht="15" hidden="false" customHeight="false" outlineLevel="0" collapsed="false">
      <c r="A316" s="9" t="s">
        <v>280</v>
      </c>
      <c r="B316" s="9" t="s">
        <v>750</v>
      </c>
      <c r="C316" s="9" t="s">
        <v>678</v>
      </c>
      <c r="D316" s="9" t="s">
        <v>693</v>
      </c>
      <c r="E316" s="9" t="n">
        <v>0</v>
      </c>
    </row>
    <row r="317" customFormat="false" ht="15" hidden="false" customHeight="false" outlineLevel="0" collapsed="false">
      <c r="A317" s="9" t="s">
        <v>280</v>
      </c>
      <c r="B317" s="9" t="s">
        <v>750</v>
      </c>
      <c r="C317" s="9" t="s">
        <v>680</v>
      </c>
      <c r="D317" s="9" t="s">
        <v>693</v>
      </c>
      <c r="E317" s="9" t="n">
        <v>0</v>
      </c>
    </row>
    <row r="318" customFormat="false" ht="15" hidden="false" customHeight="false" outlineLevel="0" collapsed="false">
      <c r="A318" s="9" t="s">
        <v>280</v>
      </c>
      <c r="B318" s="9" t="s">
        <v>750</v>
      </c>
      <c r="C318" s="9" t="s">
        <v>682</v>
      </c>
      <c r="D318" s="9" t="s">
        <v>729</v>
      </c>
      <c r="E318" s="9" t="n">
        <v>0</v>
      </c>
    </row>
    <row r="319" customFormat="false" ht="15" hidden="false" customHeight="false" outlineLevel="0" collapsed="false">
      <c r="A319" s="9" t="s">
        <v>280</v>
      </c>
      <c r="B319" s="9" t="s">
        <v>750</v>
      </c>
      <c r="C319" s="9" t="s">
        <v>684</v>
      </c>
      <c r="D319" s="9" t="s">
        <v>674</v>
      </c>
      <c r="E319" s="9" t="n">
        <v>0</v>
      </c>
    </row>
    <row r="320" customFormat="false" ht="15" hidden="false" customHeight="false" outlineLevel="0" collapsed="false">
      <c r="A320" s="9" t="s">
        <v>280</v>
      </c>
      <c r="B320" s="9" t="s">
        <v>750</v>
      </c>
      <c r="C320" s="9" t="s">
        <v>686</v>
      </c>
      <c r="D320" s="9" t="s">
        <v>753</v>
      </c>
      <c r="E320" s="9" t="n">
        <v>0</v>
      </c>
    </row>
    <row r="321" customFormat="false" ht="15" hidden="false" customHeight="false" outlineLevel="0" collapsed="false">
      <c r="A321" s="9" t="s">
        <v>280</v>
      </c>
      <c r="B321" s="9" t="s">
        <v>750</v>
      </c>
      <c r="C321" s="9" t="s">
        <v>688</v>
      </c>
      <c r="D321" s="9" t="s">
        <v>689</v>
      </c>
      <c r="E321" s="9" t="n">
        <v>0</v>
      </c>
    </row>
    <row r="322" customFormat="false" ht="15" hidden="false" customHeight="false" outlineLevel="0" collapsed="false">
      <c r="A322" s="9" t="s">
        <v>280</v>
      </c>
      <c r="B322" s="9" t="s">
        <v>750</v>
      </c>
      <c r="C322" s="9" t="s">
        <v>690</v>
      </c>
      <c r="D322" s="9" t="s">
        <v>674</v>
      </c>
      <c r="E322" s="9" t="n">
        <v>0</v>
      </c>
    </row>
    <row r="323" customFormat="false" ht="15" hidden="false" customHeight="false" outlineLevel="0" collapsed="false">
      <c r="A323" s="9" t="s">
        <v>280</v>
      </c>
      <c r="B323" s="9" t="s">
        <v>750</v>
      </c>
      <c r="C323" s="9" t="s">
        <v>691</v>
      </c>
      <c r="D323" s="9" t="s">
        <v>685</v>
      </c>
      <c r="E323" s="9" t="n">
        <v>0</v>
      </c>
    </row>
    <row r="324" customFormat="false" ht="15" hidden="false" customHeight="false" outlineLevel="0" collapsed="false">
      <c r="A324" s="9" t="s">
        <v>280</v>
      </c>
      <c r="B324" s="9" t="s">
        <v>750</v>
      </c>
      <c r="C324" s="9" t="s">
        <v>692</v>
      </c>
      <c r="D324" s="9" t="s">
        <v>681</v>
      </c>
      <c r="E324" s="9" t="n">
        <v>0</v>
      </c>
    </row>
    <row r="325" customFormat="false" ht="15" hidden="false" customHeight="false" outlineLevel="0" collapsed="false">
      <c r="A325" s="9" t="s">
        <v>280</v>
      </c>
      <c r="B325" s="9" t="s">
        <v>750</v>
      </c>
      <c r="C325" s="9" t="s">
        <v>730</v>
      </c>
      <c r="D325" s="9" t="s">
        <v>754</v>
      </c>
      <c r="E325" s="9" t="n">
        <v>0</v>
      </c>
    </row>
    <row r="326" customFormat="false" ht="15" hidden="false" customHeight="false" outlineLevel="0" collapsed="false">
      <c r="A326" s="9" t="s">
        <v>280</v>
      </c>
      <c r="B326" s="9" t="s">
        <v>750</v>
      </c>
      <c r="C326" s="9" t="s">
        <v>732</v>
      </c>
      <c r="D326" s="9" t="s">
        <v>755</v>
      </c>
      <c r="E326" s="9" t="n">
        <v>0</v>
      </c>
    </row>
    <row r="327" customFormat="false" ht="15" hidden="false" customHeight="false" outlineLevel="0" collapsed="false">
      <c r="A327" s="9" t="s">
        <v>280</v>
      </c>
      <c r="B327" s="9" t="s">
        <v>750</v>
      </c>
      <c r="C327" s="9" t="s">
        <v>734</v>
      </c>
      <c r="D327" s="9" t="s">
        <v>756</v>
      </c>
      <c r="E327"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3" min="3" style="0" width="34"/>
  </cols>
  <sheetData>
    <row r="1" customFormat="false" ht="46.25" hidden="false" customHeight="false" outlineLevel="0" collapsed="false">
      <c r="A1" s="8" t="s">
        <v>278</v>
      </c>
      <c r="B1" s="8" t="s">
        <v>757</v>
      </c>
      <c r="C1" s="8" t="s">
        <v>758</v>
      </c>
    </row>
    <row r="2" customFormat="false" ht="15" hidden="false" customHeight="false" outlineLevel="0" collapsed="false">
      <c r="A2" s="9" t="s">
        <v>483</v>
      </c>
      <c r="B2" s="9" t="n">
        <v>151</v>
      </c>
      <c r="C2" s="9" t="s">
        <v>759</v>
      </c>
    </row>
    <row r="3" customFormat="false" ht="15" hidden="false" customHeight="false" outlineLevel="0" collapsed="false">
      <c r="A3" s="9" t="s">
        <v>481</v>
      </c>
      <c r="B3" s="9" t="n">
        <v>122</v>
      </c>
      <c r="C3" s="9" t="s">
        <v>759</v>
      </c>
    </row>
    <row r="4" customFormat="false" ht="15" hidden="false" customHeight="false" outlineLevel="0" collapsed="false">
      <c r="A4" s="9" t="s">
        <v>491</v>
      </c>
      <c r="B4" s="9" t="n">
        <v>82</v>
      </c>
      <c r="C4" s="9" t="s">
        <v>759</v>
      </c>
    </row>
    <row r="5" customFormat="false" ht="15" hidden="false" customHeight="false" outlineLevel="0" collapsed="false">
      <c r="A5" s="9" t="s">
        <v>473</v>
      </c>
      <c r="B5" s="9" t="n">
        <v>77</v>
      </c>
      <c r="C5" s="9" t="s">
        <v>759</v>
      </c>
    </row>
    <row r="6" customFormat="false" ht="15" hidden="false" customHeight="false" outlineLevel="0" collapsed="false">
      <c r="A6" s="9" t="s">
        <v>457</v>
      </c>
      <c r="B6" s="9" t="n">
        <v>75</v>
      </c>
      <c r="C6" s="9" t="s">
        <v>759</v>
      </c>
    </row>
    <row r="7" customFormat="false" ht="15" hidden="false" customHeight="false" outlineLevel="0" collapsed="false">
      <c r="A7" s="9" t="s">
        <v>479</v>
      </c>
      <c r="B7" s="9" t="n">
        <v>55</v>
      </c>
      <c r="C7" s="9" t="s">
        <v>759</v>
      </c>
    </row>
    <row r="8" customFormat="false" ht="15" hidden="false" customHeight="false" outlineLevel="0" collapsed="false">
      <c r="A8" s="9" t="s">
        <v>358</v>
      </c>
      <c r="B8" s="9" t="n">
        <v>37</v>
      </c>
      <c r="C8" s="9" t="s">
        <v>759</v>
      </c>
    </row>
    <row r="9" customFormat="false" ht="15" hidden="false" customHeight="false" outlineLevel="0" collapsed="false">
      <c r="A9" s="9" t="s">
        <v>475</v>
      </c>
      <c r="B9" s="9" t="n">
        <v>36</v>
      </c>
      <c r="C9" s="9" t="s">
        <v>759</v>
      </c>
    </row>
    <row r="10" customFormat="false" ht="15" hidden="false" customHeight="false" outlineLevel="0" collapsed="false">
      <c r="A10" s="9" t="s">
        <v>288</v>
      </c>
      <c r="B10" s="9" t="n">
        <v>34</v>
      </c>
      <c r="C10" s="9" t="s">
        <v>759</v>
      </c>
    </row>
    <row r="11" customFormat="false" ht="15" hidden="false" customHeight="false" outlineLevel="0" collapsed="false">
      <c r="A11" s="9" t="s">
        <v>493</v>
      </c>
      <c r="B11" s="9" t="n">
        <v>24</v>
      </c>
      <c r="C11" s="9" t="s">
        <v>759</v>
      </c>
    </row>
    <row r="12" customFormat="false" ht="15" hidden="false" customHeight="false" outlineLevel="0" collapsed="false">
      <c r="A12" s="9" t="s">
        <v>517</v>
      </c>
      <c r="B12" s="9" t="n">
        <v>23</v>
      </c>
      <c r="C12" s="9" t="s">
        <v>759</v>
      </c>
    </row>
    <row r="13" customFormat="false" ht="15" hidden="false" customHeight="false" outlineLevel="0" collapsed="false">
      <c r="A13" s="9" t="s">
        <v>360</v>
      </c>
      <c r="B13" s="9" t="n">
        <v>23</v>
      </c>
      <c r="C13" s="9" t="s">
        <v>759</v>
      </c>
    </row>
    <row r="14" customFormat="false" ht="15" hidden="false" customHeight="false" outlineLevel="0" collapsed="false">
      <c r="A14" s="9" t="s">
        <v>505</v>
      </c>
      <c r="B14" s="9" t="n">
        <v>21</v>
      </c>
      <c r="C14" s="9" t="s">
        <v>759</v>
      </c>
    </row>
    <row r="15" customFormat="false" ht="15" hidden="false" customHeight="false" outlineLevel="0" collapsed="false">
      <c r="A15" s="9" t="s">
        <v>509</v>
      </c>
      <c r="B15" s="9" t="n">
        <v>14</v>
      </c>
      <c r="C15" s="9" t="s">
        <v>759</v>
      </c>
    </row>
    <row r="16" customFormat="false" ht="15" hidden="false" customHeight="false" outlineLevel="0" collapsed="false">
      <c r="A16" s="9" t="s">
        <v>364</v>
      </c>
      <c r="B16" s="9" t="n">
        <v>13</v>
      </c>
      <c r="C16" s="9" t="s">
        <v>759</v>
      </c>
    </row>
    <row r="17" customFormat="false" ht="15" hidden="false" customHeight="false" outlineLevel="0" collapsed="false">
      <c r="A17" s="9" t="s">
        <v>465</v>
      </c>
      <c r="B17" s="9" t="n">
        <v>12</v>
      </c>
      <c r="C17" s="9" t="s">
        <v>759</v>
      </c>
    </row>
    <row r="18" customFormat="false" ht="15" hidden="false" customHeight="false" outlineLevel="0" collapsed="false">
      <c r="A18" s="9" t="s">
        <v>515</v>
      </c>
      <c r="B18" s="9" t="n">
        <v>11</v>
      </c>
      <c r="C18" s="9" t="s">
        <v>759</v>
      </c>
    </row>
    <row r="19" customFormat="false" ht="15" hidden="false" customHeight="false" outlineLevel="0" collapsed="false">
      <c r="A19" s="9" t="s">
        <v>511</v>
      </c>
      <c r="B19" s="9" t="n">
        <v>11</v>
      </c>
      <c r="C19" s="9" t="s">
        <v>759</v>
      </c>
    </row>
    <row r="20" customFormat="false" ht="15" hidden="false" customHeight="false" outlineLevel="0" collapsed="false">
      <c r="A20" s="9" t="s">
        <v>513</v>
      </c>
      <c r="B20" s="9" t="n">
        <v>9</v>
      </c>
      <c r="C20" s="9" t="s">
        <v>759</v>
      </c>
    </row>
    <row r="21" customFormat="false" ht="15" hidden="false" customHeight="false" outlineLevel="0" collapsed="false">
      <c r="A21" s="9" t="s">
        <v>471</v>
      </c>
      <c r="B21" s="9" t="n">
        <v>8</v>
      </c>
      <c r="C21" s="9" t="s">
        <v>759</v>
      </c>
    </row>
    <row r="22" customFormat="false" ht="15" hidden="false" customHeight="false" outlineLevel="0" collapsed="false">
      <c r="A22" s="9" t="s">
        <v>507</v>
      </c>
      <c r="B22" s="9" t="n">
        <v>8</v>
      </c>
      <c r="C22" s="9" t="s">
        <v>759</v>
      </c>
    </row>
    <row r="23" customFormat="false" ht="15" hidden="false" customHeight="false" outlineLevel="0" collapsed="false">
      <c r="A23" s="9" t="s">
        <v>531</v>
      </c>
      <c r="B23" s="9" t="n">
        <v>6</v>
      </c>
      <c r="C23" s="9" t="s">
        <v>759</v>
      </c>
    </row>
    <row r="24" customFormat="false" ht="15" hidden="false" customHeight="false" outlineLevel="0" collapsed="false">
      <c r="A24" s="9" t="s">
        <v>461</v>
      </c>
      <c r="B24" s="9" t="n">
        <v>5</v>
      </c>
      <c r="C24" s="9" t="s">
        <v>759</v>
      </c>
    </row>
    <row r="25" customFormat="false" ht="15" hidden="false" customHeight="false" outlineLevel="0" collapsed="false">
      <c r="A25" s="9" t="s">
        <v>503</v>
      </c>
      <c r="B25" s="9" t="n">
        <v>5</v>
      </c>
      <c r="C25" s="9" t="s">
        <v>759</v>
      </c>
    </row>
    <row r="26" customFormat="false" ht="15" hidden="false" customHeight="false" outlineLevel="0" collapsed="false">
      <c r="A26" s="9" t="s">
        <v>497</v>
      </c>
      <c r="B26" s="9" t="n">
        <v>4</v>
      </c>
      <c r="C26" s="9" t="s">
        <v>759</v>
      </c>
    </row>
    <row r="27" customFormat="false" ht="15" hidden="false" customHeight="false" outlineLevel="0" collapsed="false">
      <c r="A27" s="9" t="s">
        <v>498</v>
      </c>
      <c r="B27" s="9" t="n">
        <v>4</v>
      </c>
      <c r="C27" s="9" t="s">
        <v>759</v>
      </c>
    </row>
    <row r="28" customFormat="false" ht="15" hidden="false" customHeight="false" outlineLevel="0" collapsed="false">
      <c r="A28" s="9" t="s">
        <v>499</v>
      </c>
      <c r="B28" s="9" t="n">
        <v>4</v>
      </c>
      <c r="C28" s="9" t="s">
        <v>759</v>
      </c>
    </row>
    <row r="29" customFormat="false" ht="15" hidden="false" customHeight="false" outlineLevel="0" collapsed="false">
      <c r="A29" s="9" t="s">
        <v>501</v>
      </c>
      <c r="B29" s="9" t="n">
        <v>4</v>
      </c>
      <c r="C29" s="9" t="s">
        <v>759</v>
      </c>
    </row>
    <row r="30" customFormat="false" ht="15" hidden="false" customHeight="false" outlineLevel="0" collapsed="false">
      <c r="A30" s="9" t="s">
        <v>477</v>
      </c>
      <c r="B30" s="9" t="n">
        <v>3</v>
      </c>
      <c r="C30" s="9" t="s">
        <v>759</v>
      </c>
    </row>
    <row r="31" customFormat="false" ht="15" hidden="false" customHeight="false" outlineLevel="0" collapsed="false">
      <c r="A31" s="9" t="s">
        <v>530</v>
      </c>
      <c r="B31" s="9" t="n">
        <v>3</v>
      </c>
      <c r="C31" s="9" t="s">
        <v>759</v>
      </c>
    </row>
    <row r="32" customFormat="false" ht="15" hidden="false" customHeight="false" outlineLevel="0" collapsed="false">
      <c r="A32" s="9" t="s">
        <v>523</v>
      </c>
      <c r="B32" s="9" t="n">
        <v>3</v>
      </c>
      <c r="C32" s="9" t="s">
        <v>759</v>
      </c>
    </row>
    <row r="33" customFormat="false" ht="15" hidden="false" customHeight="false" outlineLevel="0" collapsed="false">
      <c r="A33" s="9" t="s">
        <v>529</v>
      </c>
      <c r="B33" s="9" t="n">
        <v>3</v>
      </c>
      <c r="C33" s="9" t="s">
        <v>759</v>
      </c>
    </row>
    <row r="34" customFormat="false" ht="15" hidden="false" customHeight="false" outlineLevel="0" collapsed="false">
      <c r="A34" s="9" t="s">
        <v>760</v>
      </c>
      <c r="B34" s="9" t="n">
        <v>3</v>
      </c>
      <c r="C34" s="9" t="s">
        <v>761</v>
      </c>
    </row>
    <row r="35" customFormat="false" ht="15" hidden="false" customHeight="false" outlineLevel="0" collapsed="false">
      <c r="A35" s="9" t="s">
        <v>485</v>
      </c>
      <c r="B35" s="9" t="n">
        <v>2</v>
      </c>
      <c r="C35" s="9" t="s">
        <v>759</v>
      </c>
    </row>
    <row r="36" customFormat="false" ht="15" hidden="false" customHeight="false" outlineLevel="0" collapsed="false">
      <c r="A36" s="9" t="s">
        <v>521</v>
      </c>
      <c r="B36" s="9" t="n">
        <v>2</v>
      </c>
      <c r="C36" s="9" t="s">
        <v>759</v>
      </c>
    </row>
    <row r="37" customFormat="false" ht="15" hidden="false" customHeight="false" outlineLevel="0" collapsed="false">
      <c r="A37" s="9" t="s">
        <v>519</v>
      </c>
      <c r="B37" s="9" t="n">
        <v>2</v>
      </c>
      <c r="C37" s="9" t="s">
        <v>759</v>
      </c>
    </row>
    <row r="38" customFormat="false" ht="15" hidden="false" customHeight="false" outlineLevel="0" collapsed="false">
      <c r="A38" s="9" t="s">
        <v>762</v>
      </c>
      <c r="B38" s="9" t="n">
        <v>1</v>
      </c>
      <c r="C38" s="9" t="s">
        <v>761</v>
      </c>
    </row>
    <row r="39" customFormat="false" ht="15" hidden="false" customHeight="false" outlineLevel="0" collapsed="false">
      <c r="A39" s="9" t="s">
        <v>763</v>
      </c>
      <c r="B39" s="9" t="n">
        <v>1</v>
      </c>
      <c r="C39" s="9" t="s">
        <v>761</v>
      </c>
    </row>
    <row r="40" customFormat="false" ht="15" hidden="false" customHeight="false" outlineLevel="0" collapsed="false">
      <c r="A40" s="9" t="s">
        <v>487</v>
      </c>
      <c r="B40" s="9" t="n">
        <v>1</v>
      </c>
      <c r="C40" s="9" t="s">
        <v>759</v>
      </c>
    </row>
    <row r="41" customFormat="false" ht="15" hidden="false" customHeight="false" outlineLevel="0" collapsed="false">
      <c r="A41" s="9" t="s">
        <v>527</v>
      </c>
      <c r="B41" s="9" t="n">
        <v>1</v>
      </c>
      <c r="C41" s="9" t="s">
        <v>759</v>
      </c>
    </row>
    <row r="42" customFormat="false" ht="15" hidden="false" customHeight="false" outlineLevel="0" collapsed="false">
      <c r="A42" s="9" t="s">
        <v>525</v>
      </c>
      <c r="B42" s="9" t="n">
        <v>1</v>
      </c>
      <c r="C42" s="9" t="s">
        <v>759</v>
      </c>
    </row>
    <row r="43" customFormat="false" ht="15" hidden="false" customHeight="false" outlineLevel="0" collapsed="false">
      <c r="A43" s="9" t="s">
        <v>764</v>
      </c>
      <c r="B43" s="9" t="n">
        <v>1</v>
      </c>
      <c r="C43" s="9" t="s">
        <v>761</v>
      </c>
    </row>
    <row r="44" customFormat="false" ht="15" hidden="false" customHeight="false" outlineLevel="0" collapsed="false">
      <c r="A44" s="9" t="s">
        <v>765</v>
      </c>
      <c r="B44" s="9" t="n">
        <v>1</v>
      </c>
      <c r="C44" s="9" t="s">
        <v>761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2"/>
    <col collapsed="false" customWidth="true" hidden="false" outlineLevel="0" max="4" min="4" style="0" width="40"/>
  </cols>
  <sheetData>
    <row r="1" customFormat="false" ht="15" hidden="false" customHeight="false" outlineLevel="0" collapsed="false">
      <c r="A1" s="2" t="s">
        <v>766</v>
      </c>
    </row>
    <row r="3" customFormat="false" ht="23.85" hidden="false" customHeight="false" outlineLevel="0" collapsed="false">
      <c r="A3" s="8" t="s">
        <v>767</v>
      </c>
      <c r="B3" s="8" t="s">
        <v>768</v>
      </c>
      <c r="C3" s="8" t="s">
        <v>769</v>
      </c>
      <c r="D3" s="8" t="s">
        <v>770</v>
      </c>
    </row>
    <row r="4" customFormat="false" ht="15" hidden="false" customHeight="false" outlineLevel="0" collapsed="false">
      <c r="A4" s="9" t="s">
        <v>771</v>
      </c>
      <c r="B4" s="9" t="s">
        <v>772</v>
      </c>
      <c r="C4" s="9" t="n">
        <v>21</v>
      </c>
      <c r="D4" s="9" t="s">
        <v>772</v>
      </c>
    </row>
    <row r="5" customFormat="false" ht="15" hidden="false" customHeight="false" outlineLevel="0" collapsed="false">
      <c r="A5" s="9" t="s">
        <v>771</v>
      </c>
      <c r="B5" s="9" t="s">
        <v>773</v>
      </c>
      <c r="C5" s="9" t="n">
        <v>17</v>
      </c>
      <c r="D5" s="9" t="s">
        <v>774</v>
      </c>
    </row>
    <row r="6" customFormat="false" ht="15" hidden="false" customHeight="false" outlineLevel="0" collapsed="false">
      <c r="A6" s="9" t="s">
        <v>771</v>
      </c>
      <c r="B6" s="9" t="s">
        <v>775</v>
      </c>
      <c r="C6" s="9" t="n">
        <v>15</v>
      </c>
      <c r="D6" s="9" t="s">
        <v>775</v>
      </c>
    </row>
    <row r="7" customFormat="false" ht="15" hidden="false" customHeight="false" outlineLevel="0" collapsed="false">
      <c r="A7" s="9" t="s">
        <v>771</v>
      </c>
      <c r="B7" s="9" t="s">
        <v>776</v>
      </c>
      <c r="C7" s="9" t="n">
        <v>13</v>
      </c>
      <c r="D7" s="9" t="s">
        <v>777</v>
      </c>
    </row>
    <row r="8" customFormat="false" ht="15" hidden="false" customHeight="false" outlineLevel="0" collapsed="false">
      <c r="A8" s="9" t="s">
        <v>771</v>
      </c>
      <c r="B8" s="9" t="s">
        <v>778</v>
      </c>
      <c r="C8" s="9" t="n">
        <v>8</v>
      </c>
      <c r="D8" s="9" t="s">
        <v>779</v>
      </c>
    </row>
    <row r="9" customFormat="false" ht="15" hidden="false" customHeight="false" outlineLevel="0" collapsed="false">
      <c r="A9" s="9" t="s">
        <v>771</v>
      </c>
      <c r="B9" s="9" t="s">
        <v>780</v>
      </c>
      <c r="C9" s="9" t="n">
        <v>8</v>
      </c>
      <c r="D9" s="9" t="s">
        <v>781</v>
      </c>
    </row>
    <row r="10" customFormat="false" ht="15" hidden="false" customHeight="false" outlineLevel="0" collapsed="false">
      <c r="A10" s="9" t="s">
        <v>771</v>
      </c>
      <c r="B10" s="9" t="s">
        <v>782</v>
      </c>
      <c r="C10" s="9" t="n">
        <v>4</v>
      </c>
      <c r="D10" s="9" t="s">
        <v>783</v>
      </c>
    </row>
    <row r="11" customFormat="false" ht="15" hidden="false" customHeight="false" outlineLevel="0" collapsed="false">
      <c r="A11" s="9" t="s">
        <v>771</v>
      </c>
      <c r="B11" s="9" t="s">
        <v>784</v>
      </c>
      <c r="C11" s="9" t="n">
        <v>3</v>
      </c>
      <c r="D11" s="9" t="s">
        <v>774</v>
      </c>
    </row>
    <row r="12" customFormat="false" ht="15" hidden="false" customHeight="false" outlineLevel="0" collapsed="false">
      <c r="A12" s="9" t="s">
        <v>771</v>
      </c>
      <c r="B12" s="9" t="s">
        <v>785</v>
      </c>
      <c r="C12" s="9" t="n">
        <v>2</v>
      </c>
      <c r="D12" s="9"/>
    </row>
    <row r="13" customFormat="false" ht="15" hidden="false" customHeight="false" outlineLevel="0" collapsed="false">
      <c r="A13" s="9" t="s">
        <v>771</v>
      </c>
      <c r="B13" s="9" t="s">
        <v>786</v>
      </c>
      <c r="C13" s="9" t="n">
        <v>2</v>
      </c>
      <c r="D13" s="9" t="s">
        <v>786</v>
      </c>
    </row>
    <row r="14" customFormat="false" ht="15" hidden="false" customHeight="false" outlineLevel="0" collapsed="false">
      <c r="A14" s="9" t="s">
        <v>771</v>
      </c>
      <c r="B14" s="9" t="s">
        <v>787</v>
      </c>
      <c r="C14" s="9" t="n">
        <v>2</v>
      </c>
      <c r="D14" s="9" t="s">
        <v>787</v>
      </c>
    </row>
    <row r="15" customFormat="false" ht="15" hidden="false" customHeight="false" outlineLevel="0" collapsed="false">
      <c r="A15" s="9" t="s">
        <v>771</v>
      </c>
      <c r="B15" s="9" t="s">
        <v>788</v>
      </c>
      <c r="C15" s="9" t="n">
        <v>1</v>
      </c>
      <c r="D15" s="9" t="s">
        <v>777</v>
      </c>
    </row>
    <row r="16" customFormat="false" ht="15" hidden="false" customHeight="false" outlineLevel="0" collapsed="false">
      <c r="A16" s="9" t="s">
        <v>771</v>
      </c>
      <c r="B16" s="9" t="s">
        <v>789</v>
      </c>
      <c r="C16" s="9" t="n">
        <v>1</v>
      </c>
      <c r="D16" s="9"/>
    </row>
    <row r="17" customFormat="false" ht="15" hidden="false" customHeight="false" outlineLevel="0" collapsed="false">
      <c r="A17" s="9" t="s">
        <v>771</v>
      </c>
      <c r="B17" s="9" t="s">
        <v>790</v>
      </c>
      <c r="C17" s="9" t="n">
        <v>1</v>
      </c>
      <c r="D17" s="9" t="s">
        <v>783</v>
      </c>
    </row>
    <row r="18" customFormat="false" ht="15" hidden="false" customHeight="false" outlineLevel="0" collapsed="false">
      <c r="A18" s="9" t="s">
        <v>771</v>
      </c>
      <c r="B18" s="9" t="s">
        <v>791</v>
      </c>
      <c r="C18" s="9" t="n">
        <v>1</v>
      </c>
      <c r="D18" s="9"/>
    </row>
    <row r="19" customFormat="false" ht="15" hidden="false" customHeight="false" outlineLevel="0" collapsed="false">
      <c r="A19" s="9" t="s">
        <v>792</v>
      </c>
      <c r="B19" s="9" t="s">
        <v>793</v>
      </c>
      <c r="C19" s="9" t="n">
        <v>14</v>
      </c>
      <c r="D19" s="9" t="s">
        <v>794</v>
      </c>
    </row>
    <row r="20" customFormat="false" ht="15" hidden="false" customHeight="false" outlineLevel="0" collapsed="false">
      <c r="A20" s="9" t="s">
        <v>792</v>
      </c>
      <c r="B20" s="9" t="s">
        <v>795</v>
      </c>
      <c r="C20" s="9" t="n">
        <v>2</v>
      </c>
      <c r="D20" s="9" t="s">
        <v>794</v>
      </c>
    </row>
    <row r="21" customFormat="false" ht="15" hidden="false" customHeight="false" outlineLevel="0" collapsed="false">
      <c r="A21" s="9" t="s">
        <v>792</v>
      </c>
      <c r="B21" s="9" t="s">
        <v>796</v>
      </c>
      <c r="C21" s="9" t="n">
        <v>1</v>
      </c>
      <c r="D21" s="9" t="s">
        <v>794</v>
      </c>
    </row>
    <row r="22" customFormat="false" ht="15" hidden="false" customHeight="false" outlineLevel="0" collapsed="false">
      <c r="A22" s="9" t="s">
        <v>797</v>
      </c>
      <c r="B22" s="9" t="s">
        <v>798</v>
      </c>
      <c r="C22" s="9" t="n">
        <v>13</v>
      </c>
      <c r="D22" s="9" t="s">
        <v>794</v>
      </c>
    </row>
    <row r="23" customFormat="false" ht="15" hidden="false" customHeight="false" outlineLevel="0" collapsed="false">
      <c r="A23" s="9" t="s">
        <v>797</v>
      </c>
      <c r="B23" s="9" t="s">
        <v>799</v>
      </c>
      <c r="C23" s="9" t="n">
        <v>12</v>
      </c>
      <c r="D23" s="9" t="s">
        <v>794</v>
      </c>
    </row>
    <row r="24" customFormat="false" ht="15" hidden="false" customHeight="false" outlineLevel="0" collapsed="false">
      <c r="A24" s="9" t="s">
        <v>797</v>
      </c>
      <c r="B24" s="9" t="s">
        <v>800</v>
      </c>
      <c r="C24" s="9" t="n">
        <v>11</v>
      </c>
      <c r="D24" s="9" t="s">
        <v>794</v>
      </c>
    </row>
    <row r="25" customFormat="false" ht="15" hidden="false" customHeight="false" outlineLevel="0" collapsed="false">
      <c r="A25" s="9" t="s">
        <v>797</v>
      </c>
      <c r="B25" s="9" t="s">
        <v>801</v>
      </c>
      <c r="C25" s="9" t="n">
        <v>10</v>
      </c>
      <c r="D25" s="9" t="s">
        <v>794</v>
      </c>
    </row>
    <row r="26" customFormat="false" ht="15" hidden="false" customHeight="false" outlineLevel="0" collapsed="false">
      <c r="A26" s="9" t="s">
        <v>797</v>
      </c>
      <c r="B26" s="9" t="s">
        <v>802</v>
      </c>
      <c r="C26" s="9" t="n">
        <v>9</v>
      </c>
      <c r="D26" s="9" t="s">
        <v>794</v>
      </c>
    </row>
    <row r="27" customFormat="false" ht="15" hidden="false" customHeight="false" outlineLevel="0" collapsed="false">
      <c r="A27" s="9" t="s">
        <v>797</v>
      </c>
      <c r="B27" s="9" t="s">
        <v>803</v>
      </c>
      <c r="C27" s="9" t="n">
        <v>8</v>
      </c>
      <c r="D27" s="9" t="s">
        <v>794</v>
      </c>
    </row>
    <row r="28" customFormat="false" ht="15" hidden="false" customHeight="false" outlineLevel="0" collapsed="false">
      <c r="A28" s="9" t="s">
        <v>797</v>
      </c>
      <c r="B28" s="9" t="s">
        <v>804</v>
      </c>
      <c r="C28" s="9" t="n">
        <v>7</v>
      </c>
      <c r="D28" s="9" t="s">
        <v>794</v>
      </c>
    </row>
    <row r="29" customFormat="false" ht="15" hidden="false" customHeight="false" outlineLevel="0" collapsed="false">
      <c r="A29" s="9" t="s">
        <v>797</v>
      </c>
      <c r="B29" s="9" t="s">
        <v>805</v>
      </c>
      <c r="C29" s="9" t="n">
        <v>7</v>
      </c>
      <c r="D29" s="9" t="s">
        <v>794</v>
      </c>
    </row>
    <row r="30" customFormat="false" ht="15" hidden="false" customHeight="false" outlineLevel="0" collapsed="false">
      <c r="A30" s="9" t="s">
        <v>797</v>
      </c>
      <c r="B30" s="9" t="s">
        <v>776</v>
      </c>
      <c r="C30" s="9" t="n">
        <v>5</v>
      </c>
      <c r="D30" s="9" t="s">
        <v>794</v>
      </c>
    </row>
    <row r="31" customFormat="false" ht="15" hidden="false" customHeight="false" outlineLevel="0" collapsed="false">
      <c r="A31" s="9" t="s">
        <v>797</v>
      </c>
      <c r="B31" s="9" t="s">
        <v>806</v>
      </c>
      <c r="C31" s="9" t="n">
        <v>4</v>
      </c>
      <c r="D31" s="9" t="s">
        <v>794</v>
      </c>
    </row>
    <row r="32" customFormat="false" ht="15" hidden="false" customHeight="false" outlineLevel="0" collapsed="false">
      <c r="A32" s="9" t="s">
        <v>797</v>
      </c>
      <c r="B32" s="9" t="s">
        <v>807</v>
      </c>
      <c r="C32" s="9" t="n">
        <v>4</v>
      </c>
      <c r="D32" s="9" t="s">
        <v>794</v>
      </c>
    </row>
    <row r="33" customFormat="false" ht="15" hidden="false" customHeight="false" outlineLevel="0" collapsed="false">
      <c r="A33" s="9" t="s">
        <v>797</v>
      </c>
      <c r="B33" s="9" t="s">
        <v>808</v>
      </c>
      <c r="C33" s="9" t="n">
        <v>4</v>
      </c>
      <c r="D33" s="9" t="s">
        <v>794</v>
      </c>
    </row>
    <row r="34" customFormat="false" ht="15" hidden="false" customHeight="false" outlineLevel="0" collapsed="false">
      <c r="A34" s="9" t="s">
        <v>797</v>
      </c>
      <c r="B34" s="9" t="s">
        <v>809</v>
      </c>
      <c r="C34" s="9" t="n">
        <v>4</v>
      </c>
      <c r="D34" s="9" t="s">
        <v>794</v>
      </c>
    </row>
    <row r="35" customFormat="false" ht="15" hidden="false" customHeight="false" outlineLevel="0" collapsed="false">
      <c r="A35" s="9" t="s">
        <v>797</v>
      </c>
      <c r="B35" s="9" t="s">
        <v>810</v>
      </c>
      <c r="C35" s="9" t="n">
        <v>4</v>
      </c>
      <c r="D35" s="9" t="s">
        <v>794</v>
      </c>
    </row>
    <row r="36" customFormat="false" ht="15" hidden="false" customHeight="false" outlineLevel="0" collapsed="false">
      <c r="A36" s="9" t="s">
        <v>797</v>
      </c>
      <c r="B36" s="9" t="s">
        <v>811</v>
      </c>
      <c r="C36" s="9" t="n">
        <v>4</v>
      </c>
      <c r="D36" s="9" t="s">
        <v>794</v>
      </c>
    </row>
    <row r="37" customFormat="false" ht="15" hidden="false" customHeight="false" outlineLevel="0" collapsed="false">
      <c r="A37" s="9" t="s">
        <v>797</v>
      </c>
      <c r="B37" s="9" t="s">
        <v>812</v>
      </c>
      <c r="C37" s="9" t="n">
        <v>4</v>
      </c>
      <c r="D37" s="9" t="s">
        <v>794</v>
      </c>
    </row>
    <row r="38" customFormat="false" ht="15" hidden="false" customHeight="false" outlineLevel="0" collapsed="false">
      <c r="A38" s="9" t="s">
        <v>797</v>
      </c>
      <c r="B38" s="9" t="s">
        <v>813</v>
      </c>
      <c r="C38" s="9" t="n">
        <v>3</v>
      </c>
      <c r="D38" s="9" t="s">
        <v>794</v>
      </c>
    </row>
    <row r="39" customFormat="false" ht="15" hidden="false" customHeight="false" outlineLevel="0" collapsed="false">
      <c r="A39" s="9" t="s">
        <v>797</v>
      </c>
      <c r="B39" s="9" t="s">
        <v>814</v>
      </c>
      <c r="C39" s="9" t="n">
        <v>3</v>
      </c>
      <c r="D39" s="9" t="s">
        <v>794</v>
      </c>
    </row>
    <row r="40" customFormat="false" ht="15" hidden="false" customHeight="false" outlineLevel="0" collapsed="false">
      <c r="A40" s="9" t="s">
        <v>797</v>
      </c>
      <c r="B40" s="9" t="s">
        <v>815</v>
      </c>
      <c r="C40" s="9" t="n">
        <v>3</v>
      </c>
      <c r="D40" s="9" t="s">
        <v>794</v>
      </c>
    </row>
    <row r="41" customFormat="false" ht="15" hidden="false" customHeight="false" outlineLevel="0" collapsed="false">
      <c r="A41" s="9" t="s">
        <v>797</v>
      </c>
      <c r="B41" s="9" t="s">
        <v>816</v>
      </c>
      <c r="C41" s="9" t="n">
        <v>3</v>
      </c>
      <c r="D41" s="9" t="s">
        <v>794</v>
      </c>
    </row>
    <row r="42" customFormat="false" ht="15" hidden="false" customHeight="false" outlineLevel="0" collapsed="false">
      <c r="A42" s="9" t="s">
        <v>797</v>
      </c>
      <c r="B42" s="9" t="s">
        <v>817</v>
      </c>
      <c r="C42" s="9" t="n">
        <v>2</v>
      </c>
      <c r="D42" s="9" t="s">
        <v>794</v>
      </c>
    </row>
    <row r="43" customFormat="false" ht="15" hidden="false" customHeight="false" outlineLevel="0" collapsed="false">
      <c r="A43" s="9" t="s">
        <v>797</v>
      </c>
      <c r="B43" s="9" t="s">
        <v>818</v>
      </c>
      <c r="C43" s="9" t="n">
        <v>2</v>
      </c>
      <c r="D43" s="9" t="s">
        <v>794</v>
      </c>
    </row>
    <row r="44" customFormat="false" ht="15" hidden="false" customHeight="false" outlineLevel="0" collapsed="false">
      <c r="A44" s="9" t="s">
        <v>797</v>
      </c>
      <c r="B44" s="9" t="s">
        <v>819</v>
      </c>
      <c r="C44" s="9" t="n">
        <v>2</v>
      </c>
      <c r="D44" s="9" t="s">
        <v>794</v>
      </c>
    </row>
    <row r="45" customFormat="false" ht="15" hidden="false" customHeight="false" outlineLevel="0" collapsed="false">
      <c r="A45" s="9" t="s">
        <v>797</v>
      </c>
      <c r="B45" s="9" t="s">
        <v>820</v>
      </c>
      <c r="C45" s="9" t="n">
        <v>2</v>
      </c>
      <c r="D45" s="9" t="s">
        <v>794</v>
      </c>
    </row>
    <row r="46" customFormat="false" ht="15" hidden="false" customHeight="false" outlineLevel="0" collapsed="false">
      <c r="A46" s="9" t="s">
        <v>797</v>
      </c>
      <c r="B46" s="9" t="s">
        <v>821</v>
      </c>
      <c r="C46" s="9" t="n">
        <v>2</v>
      </c>
      <c r="D46" s="9" t="s">
        <v>794</v>
      </c>
    </row>
    <row r="47" customFormat="false" ht="15" hidden="false" customHeight="false" outlineLevel="0" collapsed="false">
      <c r="A47" s="9" t="s">
        <v>797</v>
      </c>
      <c r="B47" s="9" t="s">
        <v>822</v>
      </c>
      <c r="C47" s="9" t="n">
        <v>2</v>
      </c>
      <c r="D47" s="9" t="s">
        <v>794</v>
      </c>
    </row>
    <row r="48" customFormat="false" ht="15" hidden="false" customHeight="false" outlineLevel="0" collapsed="false">
      <c r="A48" s="9" t="s">
        <v>797</v>
      </c>
      <c r="B48" s="9" t="s">
        <v>823</v>
      </c>
      <c r="C48" s="9" t="n">
        <v>2</v>
      </c>
      <c r="D48" s="9" t="s">
        <v>794</v>
      </c>
    </row>
    <row r="49" customFormat="false" ht="15" hidden="false" customHeight="false" outlineLevel="0" collapsed="false">
      <c r="A49" s="9" t="s">
        <v>797</v>
      </c>
      <c r="B49" s="9" t="s">
        <v>791</v>
      </c>
      <c r="C49" s="9" t="n">
        <v>2</v>
      </c>
      <c r="D49" s="9" t="s">
        <v>794</v>
      </c>
    </row>
    <row r="50" customFormat="false" ht="15" hidden="false" customHeight="false" outlineLevel="0" collapsed="false">
      <c r="A50" s="9" t="s">
        <v>797</v>
      </c>
      <c r="B50" s="9" t="s">
        <v>824</v>
      </c>
      <c r="C50" s="9" t="n">
        <v>2</v>
      </c>
      <c r="D50" s="9" t="s">
        <v>794</v>
      </c>
    </row>
    <row r="51" customFormat="false" ht="15" hidden="false" customHeight="false" outlineLevel="0" collapsed="false">
      <c r="A51" s="9" t="s">
        <v>797</v>
      </c>
      <c r="B51" s="9" t="s">
        <v>825</v>
      </c>
      <c r="C51" s="9" t="n">
        <v>1</v>
      </c>
      <c r="D51" s="9" t="s">
        <v>794</v>
      </c>
    </row>
    <row r="52" customFormat="false" ht="15" hidden="false" customHeight="false" outlineLevel="0" collapsed="false">
      <c r="A52" s="9" t="s">
        <v>797</v>
      </c>
      <c r="B52" s="9" t="s">
        <v>778</v>
      </c>
      <c r="C52" s="9" t="n">
        <v>1</v>
      </c>
      <c r="D52" s="9" t="s">
        <v>794</v>
      </c>
    </row>
    <row r="53" customFormat="false" ht="15" hidden="false" customHeight="false" outlineLevel="0" collapsed="false">
      <c r="A53" s="9" t="s">
        <v>797</v>
      </c>
      <c r="B53" s="9" t="s">
        <v>826</v>
      </c>
      <c r="C53" s="9" t="n">
        <v>1</v>
      </c>
      <c r="D53" s="9" t="s">
        <v>794</v>
      </c>
    </row>
    <row r="54" customFormat="false" ht="15" hidden="false" customHeight="false" outlineLevel="0" collapsed="false">
      <c r="A54" s="9" t="s">
        <v>797</v>
      </c>
      <c r="B54" s="9" t="s">
        <v>827</v>
      </c>
      <c r="C54" s="9" t="n">
        <v>1</v>
      </c>
      <c r="D54" s="9" t="s">
        <v>794</v>
      </c>
    </row>
    <row r="55" customFormat="false" ht="15" hidden="false" customHeight="false" outlineLevel="0" collapsed="false">
      <c r="A55" s="9" t="s">
        <v>797</v>
      </c>
      <c r="B55" s="9" t="s">
        <v>828</v>
      </c>
      <c r="C55" s="9" t="n">
        <v>1</v>
      </c>
      <c r="D55" s="9" t="s">
        <v>794</v>
      </c>
    </row>
    <row r="56" customFormat="false" ht="15" hidden="false" customHeight="false" outlineLevel="0" collapsed="false">
      <c r="A56" s="9" t="s">
        <v>797</v>
      </c>
      <c r="B56" s="9" t="s">
        <v>829</v>
      </c>
      <c r="C56" s="9" t="n">
        <v>1</v>
      </c>
      <c r="D56" s="9" t="s">
        <v>794</v>
      </c>
    </row>
    <row r="57" customFormat="false" ht="15" hidden="false" customHeight="false" outlineLevel="0" collapsed="false">
      <c r="A57" s="9" t="s">
        <v>797</v>
      </c>
      <c r="B57" s="9" t="s">
        <v>830</v>
      </c>
      <c r="C57" s="9" t="n">
        <v>1</v>
      </c>
      <c r="D57" s="9" t="s">
        <v>794</v>
      </c>
    </row>
    <row r="58" customFormat="false" ht="15" hidden="false" customHeight="false" outlineLevel="0" collapsed="false">
      <c r="A58" s="9" t="s">
        <v>797</v>
      </c>
      <c r="B58" s="9" t="s">
        <v>831</v>
      </c>
      <c r="C58" s="9" t="n">
        <v>1</v>
      </c>
      <c r="D58" s="9" t="s">
        <v>794</v>
      </c>
    </row>
    <row r="59" customFormat="false" ht="15" hidden="false" customHeight="false" outlineLevel="0" collapsed="false">
      <c r="A59" s="9" t="s">
        <v>797</v>
      </c>
      <c r="B59" s="9" t="s">
        <v>832</v>
      </c>
      <c r="C59" s="9" t="n">
        <v>1</v>
      </c>
      <c r="D59" s="9" t="s">
        <v>794</v>
      </c>
    </row>
    <row r="60" customFormat="false" ht="15" hidden="false" customHeight="false" outlineLevel="0" collapsed="false">
      <c r="A60" s="9" t="s">
        <v>797</v>
      </c>
      <c r="B60" s="9" t="s">
        <v>833</v>
      </c>
      <c r="C60" s="9" t="n">
        <v>1</v>
      </c>
      <c r="D60" s="9" t="s">
        <v>794</v>
      </c>
    </row>
    <row r="61" customFormat="false" ht="15" hidden="false" customHeight="false" outlineLevel="0" collapsed="false">
      <c r="A61" s="9" t="s">
        <v>797</v>
      </c>
      <c r="B61" s="9" t="s">
        <v>834</v>
      </c>
      <c r="C61" s="9" t="n">
        <v>1</v>
      </c>
      <c r="D61" s="9" t="s">
        <v>794</v>
      </c>
    </row>
    <row r="62" customFormat="false" ht="15" hidden="false" customHeight="false" outlineLevel="0" collapsed="false">
      <c r="A62" s="9" t="s">
        <v>797</v>
      </c>
      <c r="B62" s="9" t="s">
        <v>835</v>
      </c>
      <c r="C62" s="9" t="n">
        <v>1</v>
      </c>
      <c r="D62" s="9" t="s">
        <v>794</v>
      </c>
    </row>
    <row r="63" customFormat="false" ht="15" hidden="false" customHeight="false" outlineLevel="0" collapsed="false">
      <c r="A63" s="9" t="s">
        <v>797</v>
      </c>
      <c r="B63" s="9" t="s">
        <v>836</v>
      </c>
      <c r="C63" s="9" t="n">
        <v>1</v>
      </c>
      <c r="D63" s="9" t="s">
        <v>794</v>
      </c>
    </row>
    <row r="64" customFormat="false" ht="15" hidden="false" customHeight="false" outlineLevel="0" collapsed="false">
      <c r="A64" s="9" t="s">
        <v>797</v>
      </c>
      <c r="B64" s="9" t="s">
        <v>837</v>
      </c>
      <c r="C64" s="9" t="n">
        <v>1</v>
      </c>
      <c r="D64" s="9" t="s">
        <v>794</v>
      </c>
    </row>
    <row r="65" customFormat="false" ht="15" hidden="false" customHeight="false" outlineLevel="0" collapsed="false">
      <c r="A65" s="9" t="s">
        <v>797</v>
      </c>
      <c r="B65" s="9" t="s">
        <v>838</v>
      </c>
      <c r="C65" s="9" t="n">
        <v>1</v>
      </c>
      <c r="D65" s="9" t="s">
        <v>794</v>
      </c>
    </row>
    <row r="66" customFormat="false" ht="15" hidden="false" customHeight="false" outlineLevel="0" collapsed="false">
      <c r="A66" s="9" t="s">
        <v>797</v>
      </c>
      <c r="B66" s="9" t="s">
        <v>839</v>
      </c>
      <c r="C66" s="9" t="n">
        <v>1</v>
      </c>
      <c r="D66" s="9" t="s">
        <v>794</v>
      </c>
    </row>
    <row r="67" customFormat="false" ht="15" hidden="false" customHeight="false" outlineLevel="0" collapsed="false">
      <c r="A67" s="9" t="s">
        <v>797</v>
      </c>
      <c r="B67" s="9" t="s">
        <v>840</v>
      </c>
      <c r="C67" s="9" t="n">
        <v>1</v>
      </c>
      <c r="D67" s="9" t="s">
        <v>794</v>
      </c>
    </row>
    <row r="68" customFormat="false" ht="15" hidden="false" customHeight="false" outlineLevel="0" collapsed="false">
      <c r="A68" s="9" t="s">
        <v>797</v>
      </c>
      <c r="B68" s="9" t="s">
        <v>841</v>
      </c>
      <c r="C68" s="9" t="n">
        <v>1</v>
      </c>
      <c r="D68" s="9" t="s">
        <v>794</v>
      </c>
    </row>
    <row r="69" customFormat="false" ht="15" hidden="false" customHeight="false" outlineLevel="0" collapsed="false">
      <c r="A69" s="9" t="s">
        <v>797</v>
      </c>
      <c r="B69" s="9" t="s">
        <v>842</v>
      </c>
      <c r="C69" s="9" t="n">
        <v>1</v>
      </c>
      <c r="D69" s="9" t="s">
        <v>794</v>
      </c>
    </row>
    <row r="70" customFormat="false" ht="15" hidden="false" customHeight="false" outlineLevel="0" collapsed="false">
      <c r="A70" s="9" t="s">
        <v>797</v>
      </c>
      <c r="B70" s="9" t="s">
        <v>843</v>
      </c>
      <c r="C70" s="9" t="n">
        <v>1</v>
      </c>
      <c r="D70" s="9" t="s">
        <v>794</v>
      </c>
    </row>
    <row r="71" customFormat="false" ht="15" hidden="false" customHeight="false" outlineLevel="0" collapsed="false">
      <c r="A71" s="9" t="s">
        <v>797</v>
      </c>
      <c r="B71" s="9" t="s">
        <v>844</v>
      </c>
      <c r="C71" s="9" t="n">
        <v>1</v>
      </c>
      <c r="D71" s="9" t="s">
        <v>794</v>
      </c>
    </row>
    <row r="72" customFormat="false" ht="15" hidden="false" customHeight="false" outlineLevel="0" collapsed="false">
      <c r="A72" s="9" t="s">
        <v>797</v>
      </c>
      <c r="B72" s="9" t="s">
        <v>845</v>
      </c>
      <c r="C72" s="9" t="n">
        <v>1</v>
      </c>
      <c r="D72" s="9" t="s">
        <v>794</v>
      </c>
    </row>
    <row r="73" customFormat="false" ht="15" hidden="false" customHeight="false" outlineLevel="0" collapsed="false">
      <c r="A73" s="9" t="s">
        <v>797</v>
      </c>
      <c r="B73" s="9" t="s">
        <v>846</v>
      </c>
      <c r="C73" s="9" t="n">
        <v>1</v>
      </c>
      <c r="D73" s="9" t="s">
        <v>794</v>
      </c>
    </row>
    <row r="74" customFormat="false" ht="15" hidden="false" customHeight="false" outlineLevel="0" collapsed="false">
      <c r="A74" s="9" t="s">
        <v>797</v>
      </c>
      <c r="B74" s="9" t="s">
        <v>847</v>
      </c>
      <c r="C74" s="9" t="n">
        <v>1</v>
      </c>
      <c r="D74" s="9" t="s">
        <v>794</v>
      </c>
    </row>
    <row r="75" customFormat="false" ht="15" hidden="false" customHeight="false" outlineLevel="0" collapsed="false">
      <c r="A75" s="9" t="s">
        <v>797</v>
      </c>
      <c r="B75" s="9" t="s">
        <v>848</v>
      </c>
      <c r="C75" s="9" t="n">
        <v>1</v>
      </c>
      <c r="D75" s="9" t="s">
        <v>794</v>
      </c>
    </row>
    <row r="76" customFormat="false" ht="15" hidden="false" customHeight="false" outlineLevel="0" collapsed="false">
      <c r="A76" s="9" t="s">
        <v>797</v>
      </c>
      <c r="B76" s="9" t="s">
        <v>849</v>
      </c>
      <c r="C76" s="9" t="n">
        <v>1</v>
      </c>
      <c r="D76" s="9" t="s">
        <v>794</v>
      </c>
    </row>
    <row r="77" customFormat="false" ht="15" hidden="false" customHeight="false" outlineLevel="0" collapsed="false">
      <c r="A77" s="9" t="s">
        <v>797</v>
      </c>
      <c r="B77" s="9" t="s">
        <v>850</v>
      </c>
      <c r="C77" s="9" t="n">
        <v>1</v>
      </c>
      <c r="D77" s="9" t="s">
        <v>794</v>
      </c>
    </row>
    <row r="78" customFormat="false" ht="15" hidden="false" customHeight="false" outlineLevel="0" collapsed="false">
      <c r="A78" s="9" t="s">
        <v>797</v>
      </c>
      <c r="B78" s="9" t="s">
        <v>851</v>
      </c>
      <c r="C78" s="9" t="n">
        <v>1</v>
      </c>
      <c r="D78" s="9" t="s">
        <v>794</v>
      </c>
    </row>
    <row r="79" customFormat="false" ht="15" hidden="false" customHeight="false" outlineLevel="0" collapsed="false">
      <c r="A79" s="9" t="s">
        <v>852</v>
      </c>
      <c r="B79" s="9" t="s">
        <v>773</v>
      </c>
      <c r="C79" s="9" t="n">
        <v>30</v>
      </c>
      <c r="D79" s="9" t="s">
        <v>794</v>
      </c>
    </row>
    <row r="80" customFormat="false" ht="15" hidden="false" customHeight="false" outlineLevel="0" collapsed="false">
      <c r="A80" s="9" t="s">
        <v>852</v>
      </c>
      <c r="B80" s="9" t="s">
        <v>803</v>
      </c>
      <c r="C80" s="9" t="n">
        <v>26</v>
      </c>
      <c r="D80" s="9" t="s">
        <v>794</v>
      </c>
    </row>
    <row r="81" customFormat="false" ht="15" hidden="false" customHeight="false" outlineLevel="0" collapsed="false">
      <c r="A81" s="9" t="s">
        <v>852</v>
      </c>
      <c r="B81" s="9" t="s">
        <v>791</v>
      </c>
      <c r="C81" s="9" t="n">
        <v>23</v>
      </c>
      <c r="D81" s="9" t="s">
        <v>794</v>
      </c>
    </row>
    <row r="82" customFormat="false" ht="15" hidden="false" customHeight="false" outlineLevel="0" collapsed="false">
      <c r="A82" s="9" t="s">
        <v>852</v>
      </c>
      <c r="B82" s="9" t="s">
        <v>776</v>
      </c>
      <c r="C82" s="9" t="n">
        <v>16</v>
      </c>
      <c r="D82" s="9" t="s">
        <v>794</v>
      </c>
    </row>
    <row r="83" customFormat="false" ht="15" hidden="false" customHeight="false" outlineLevel="0" collapsed="false">
      <c r="A83" s="9" t="s">
        <v>852</v>
      </c>
      <c r="B83" s="9" t="s">
        <v>778</v>
      </c>
      <c r="C83" s="9" t="n">
        <v>14</v>
      </c>
      <c r="D83" s="9" t="s">
        <v>794</v>
      </c>
    </row>
    <row r="84" customFormat="false" ht="15" hidden="false" customHeight="false" outlineLevel="0" collapsed="false">
      <c r="A84" s="9" t="s">
        <v>852</v>
      </c>
      <c r="B84" s="9" t="s">
        <v>782</v>
      </c>
      <c r="C84" s="9" t="n">
        <v>11</v>
      </c>
      <c r="D84" s="9" t="s">
        <v>794</v>
      </c>
    </row>
    <row r="85" customFormat="false" ht="15" hidden="false" customHeight="false" outlineLevel="0" collapsed="false">
      <c r="A85" s="9" t="s">
        <v>852</v>
      </c>
      <c r="B85" s="9" t="s">
        <v>853</v>
      </c>
      <c r="C85" s="9" t="n">
        <v>10</v>
      </c>
      <c r="D85" s="9" t="s">
        <v>794</v>
      </c>
    </row>
    <row r="86" customFormat="false" ht="15" hidden="false" customHeight="false" outlineLevel="0" collapsed="false">
      <c r="A86" s="9" t="s">
        <v>852</v>
      </c>
      <c r="B86" s="9" t="s">
        <v>829</v>
      </c>
      <c r="C86" s="9" t="n">
        <v>4</v>
      </c>
      <c r="D86" s="9" t="s">
        <v>794</v>
      </c>
    </row>
    <row r="87" customFormat="false" ht="15" hidden="false" customHeight="false" outlineLevel="0" collapsed="false">
      <c r="A87" s="9" t="s">
        <v>852</v>
      </c>
      <c r="B87" s="9" t="s">
        <v>799</v>
      </c>
      <c r="C87" s="9" t="n">
        <v>3</v>
      </c>
      <c r="D87" s="9" t="s">
        <v>794</v>
      </c>
    </row>
    <row r="88" customFormat="false" ht="15" hidden="false" customHeight="false" outlineLevel="0" collapsed="false">
      <c r="A88" s="9" t="s">
        <v>852</v>
      </c>
      <c r="B88" s="9" t="s">
        <v>854</v>
      </c>
      <c r="C88" s="9" t="n">
        <v>3</v>
      </c>
      <c r="D88" s="9" t="s">
        <v>794</v>
      </c>
    </row>
    <row r="89" customFormat="false" ht="15" hidden="false" customHeight="false" outlineLevel="0" collapsed="false">
      <c r="A89" s="9" t="s">
        <v>852</v>
      </c>
      <c r="B89" s="9" t="s">
        <v>855</v>
      </c>
      <c r="C89" s="9" t="n">
        <v>3</v>
      </c>
      <c r="D89" s="9" t="s">
        <v>794</v>
      </c>
    </row>
    <row r="90" customFormat="false" ht="15" hidden="false" customHeight="false" outlineLevel="0" collapsed="false">
      <c r="A90" s="9" t="s">
        <v>852</v>
      </c>
      <c r="B90" s="9" t="s">
        <v>788</v>
      </c>
      <c r="C90" s="9" t="n">
        <v>2</v>
      </c>
      <c r="D90" s="9" t="s">
        <v>794</v>
      </c>
    </row>
    <row r="91" customFormat="false" ht="15" hidden="false" customHeight="false" outlineLevel="0" collapsed="false">
      <c r="A91" s="9" t="s">
        <v>852</v>
      </c>
      <c r="B91" s="9" t="s">
        <v>784</v>
      </c>
      <c r="C91" s="9" t="n">
        <v>2</v>
      </c>
      <c r="D91" s="9" t="s">
        <v>794</v>
      </c>
    </row>
    <row r="92" customFormat="false" ht="15" hidden="false" customHeight="false" outlineLevel="0" collapsed="false">
      <c r="A92" s="9" t="s">
        <v>852</v>
      </c>
      <c r="B92" s="9" t="s">
        <v>856</v>
      </c>
      <c r="C92" s="9" t="n">
        <v>1</v>
      </c>
      <c r="D92" s="9" t="s">
        <v>794</v>
      </c>
    </row>
    <row r="93" customFormat="false" ht="15" hidden="false" customHeight="false" outlineLevel="0" collapsed="false">
      <c r="A93" s="9" t="s">
        <v>852</v>
      </c>
      <c r="B93" s="9" t="s">
        <v>857</v>
      </c>
      <c r="C93" s="9" t="n">
        <v>1</v>
      </c>
      <c r="D93" s="9" t="s">
        <v>794</v>
      </c>
    </row>
    <row r="94" customFormat="false" ht="15" hidden="false" customHeight="false" outlineLevel="0" collapsed="false">
      <c r="A94" s="9" t="s">
        <v>852</v>
      </c>
      <c r="B94" s="9" t="s">
        <v>858</v>
      </c>
      <c r="C94" s="9" t="n">
        <v>1</v>
      </c>
      <c r="D94" s="9" t="s">
        <v>794</v>
      </c>
    </row>
    <row r="95" customFormat="false" ht="15" hidden="false" customHeight="false" outlineLevel="0" collapsed="false">
      <c r="A95" s="9" t="s">
        <v>852</v>
      </c>
      <c r="B95" s="9" t="s">
        <v>813</v>
      </c>
      <c r="C95" s="9" t="n">
        <v>1</v>
      </c>
      <c r="D95" s="9" t="s">
        <v>794</v>
      </c>
    </row>
    <row r="96" customFormat="false" ht="15" hidden="false" customHeight="false" outlineLevel="0" collapsed="false">
      <c r="A96" s="9" t="s">
        <v>852</v>
      </c>
      <c r="B96" s="9" t="s">
        <v>859</v>
      </c>
      <c r="C96" s="9" t="n">
        <v>1</v>
      </c>
      <c r="D96" s="9" t="s">
        <v>794</v>
      </c>
    </row>
    <row r="97" customFormat="false" ht="15" hidden="false" customHeight="false" outlineLevel="0" collapsed="false">
      <c r="A97" s="9" t="s">
        <v>852</v>
      </c>
      <c r="B97" s="9" t="s">
        <v>860</v>
      </c>
      <c r="C97" s="9" t="n">
        <v>1</v>
      </c>
      <c r="D97" s="9" t="s">
        <v>794</v>
      </c>
    </row>
    <row r="98" customFormat="false" ht="15" hidden="false" customHeight="false" outlineLevel="0" collapsed="false">
      <c r="A98" s="9" t="s">
        <v>852</v>
      </c>
      <c r="B98" s="9" t="s">
        <v>861</v>
      </c>
      <c r="C98" s="9" t="n">
        <v>1</v>
      </c>
      <c r="D98" s="9" t="s">
        <v>794</v>
      </c>
    </row>
    <row r="99" customFormat="false" ht="15" hidden="false" customHeight="false" outlineLevel="0" collapsed="false">
      <c r="A99" s="9" t="s">
        <v>852</v>
      </c>
      <c r="B99" s="9" t="s">
        <v>812</v>
      </c>
      <c r="C99" s="9" t="n">
        <v>1</v>
      </c>
      <c r="D99" s="9" t="s">
        <v>794</v>
      </c>
    </row>
    <row r="100" customFormat="false" ht="15" hidden="false" customHeight="false" outlineLevel="0" collapsed="false">
      <c r="A100" s="9" t="s">
        <v>862</v>
      </c>
      <c r="B100" s="9" t="s">
        <v>800</v>
      </c>
      <c r="C100" s="9" t="n">
        <v>57</v>
      </c>
      <c r="D100" s="9" t="s">
        <v>794</v>
      </c>
    </row>
    <row r="101" customFormat="false" ht="15" hidden="false" customHeight="false" outlineLevel="0" collapsed="false">
      <c r="A101" s="9" t="s">
        <v>862</v>
      </c>
      <c r="B101" s="9" t="s">
        <v>863</v>
      </c>
      <c r="C101" s="9" t="n">
        <v>14</v>
      </c>
      <c r="D101" s="9" t="s">
        <v>794</v>
      </c>
    </row>
    <row r="102" customFormat="false" ht="15" hidden="false" customHeight="false" outlineLevel="0" collapsed="false">
      <c r="A102" s="9" t="s">
        <v>862</v>
      </c>
      <c r="B102" s="9" t="s">
        <v>864</v>
      </c>
      <c r="C102" s="9" t="n">
        <v>10</v>
      </c>
      <c r="D102" s="9" t="s">
        <v>794</v>
      </c>
    </row>
    <row r="103" customFormat="false" ht="15" hidden="false" customHeight="false" outlineLevel="0" collapsed="false">
      <c r="A103" s="9" t="s">
        <v>862</v>
      </c>
      <c r="B103" s="9" t="s">
        <v>865</v>
      </c>
      <c r="C103" s="9" t="n">
        <v>8</v>
      </c>
      <c r="D103" s="9" t="s">
        <v>794</v>
      </c>
    </row>
    <row r="104" customFormat="false" ht="15" hidden="false" customHeight="false" outlineLevel="0" collapsed="false">
      <c r="A104" s="9" t="s">
        <v>862</v>
      </c>
      <c r="B104" s="9" t="s">
        <v>866</v>
      </c>
      <c r="C104" s="9" t="n">
        <v>5</v>
      </c>
      <c r="D104" s="9" t="s">
        <v>794</v>
      </c>
    </row>
    <row r="105" customFormat="false" ht="15" hidden="false" customHeight="false" outlineLevel="0" collapsed="false">
      <c r="A105" s="9" t="s">
        <v>862</v>
      </c>
      <c r="B105" s="9" t="s">
        <v>867</v>
      </c>
      <c r="C105" s="9" t="n">
        <v>5</v>
      </c>
      <c r="D105" s="9" t="s">
        <v>794</v>
      </c>
    </row>
    <row r="106" customFormat="false" ht="15" hidden="false" customHeight="false" outlineLevel="0" collapsed="false">
      <c r="A106" s="9" t="s">
        <v>862</v>
      </c>
      <c r="B106" s="9" t="s">
        <v>868</v>
      </c>
      <c r="C106" s="9" t="n">
        <v>4</v>
      </c>
      <c r="D106" s="9" t="s">
        <v>794</v>
      </c>
    </row>
    <row r="107" customFormat="false" ht="15" hidden="false" customHeight="false" outlineLevel="0" collapsed="false">
      <c r="A107" s="9" t="s">
        <v>862</v>
      </c>
      <c r="B107" s="9" t="s">
        <v>869</v>
      </c>
      <c r="C107" s="9" t="n">
        <v>4</v>
      </c>
      <c r="D107" s="9" t="s">
        <v>794</v>
      </c>
    </row>
    <row r="108" customFormat="false" ht="15" hidden="false" customHeight="false" outlineLevel="0" collapsed="false">
      <c r="A108" s="9" t="s">
        <v>862</v>
      </c>
      <c r="B108" s="9" t="s">
        <v>870</v>
      </c>
      <c r="C108" s="9" t="n">
        <v>4</v>
      </c>
      <c r="D108" s="9" t="s">
        <v>794</v>
      </c>
    </row>
    <row r="109" customFormat="false" ht="15" hidden="false" customHeight="false" outlineLevel="0" collapsed="false">
      <c r="A109" s="9" t="s">
        <v>862</v>
      </c>
      <c r="B109" s="9" t="s">
        <v>871</v>
      </c>
      <c r="C109" s="9" t="n">
        <v>4</v>
      </c>
      <c r="D109" s="9" t="s">
        <v>794</v>
      </c>
    </row>
    <row r="110" customFormat="false" ht="15" hidden="false" customHeight="false" outlineLevel="0" collapsed="false">
      <c r="A110" s="9" t="s">
        <v>862</v>
      </c>
      <c r="B110" s="9" t="s">
        <v>872</v>
      </c>
      <c r="C110" s="9" t="n">
        <v>2</v>
      </c>
      <c r="D110" s="9" t="s">
        <v>794</v>
      </c>
    </row>
    <row r="111" customFormat="false" ht="15" hidden="false" customHeight="false" outlineLevel="0" collapsed="false">
      <c r="A111" s="9" t="s">
        <v>862</v>
      </c>
      <c r="B111" s="9" t="s">
        <v>873</v>
      </c>
      <c r="C111" s="9" t="n">
        <v>2</v>
      </c>
      <c r="D111" s="9" t="s">
        <v>794</v>
      </c>
    </row>
    <row r="112" customFormat="false" ht="15" hidden="false" customHeight="false" outlineLevel="0" collapsed="false">
      <c r="A112" s="9" t="s">
        <v>862</v>
      </c>
      <c r="B112" s="9" t="s">
        <v>874</v>
      </c>
      <c r="C112" s="9" t="n">
        <v>2</v>
      </c>
      <c r="D112" s="9" t="s">
        <v>794</v>
      </c>
    </row>
    <row r="113" customFormat="false" ht="15" hidden="false" customHeight="false" outlineLevel="0" collapsed="false">
      <c r="A113" s="9" t="s">
        <v>862</v>
      </c>
      <c r="B113" s="9" t="s">
        <v>875</v>
      </c>
      <c r="C113" s="9" t="n">
        <v>1</v>
      </c>
      <c r="D113" s="9" t="s">
        <v>794</v>
      </c>
    </row>
    <row r="114" customFormat="false" ht="15" hidden="false" customHeight="false" outlineLevel="0" collapsed="false">
      <c r="A114" s="9" t="s">
        <v>862</v>
      </c>
      <c r="B114" s="9" t="s">
        <v>876</v>
      </c>
      <c r="C114" s="9" t="n">
        <v>1</v>
      </c>
      <c r="D114" s="9" t="s">
        <v>794</v>
      </c>
    </row>
    <row r="115" customFormat="false" ht="15" hidden="false" customHeight="false" outlineLevel="0" collapsed="false">
      <c r="A115" s="9" t="s">
        <v>862</v>
      </c>
      <c r="B115" s="9" t="s">
        <v>877</v>
      </c>
      <c r="C115" s="9" t="n">
        <v>1</v>
      </c>
      <c r="D115" s="9" t="s">
        <v>794</v>
      </c>
    </row>
    <row r="116" customFormat="false" ht="15" hidden="false" customHeight="false" outlineLevel="0" collapsed="false">
      <c r="A116" s="9" t="s">
        <v>862</v>
      </c>
      <c r="B116" s="9" t="s">
        <v>878</v>
      </c>
      <c r="C116" s="9" t="n">
        <v>1</v>
      </c>
      <c r="D116" s="9" t="s">
        <v>794</v>
      </c>
    </row>
    <row r="117" customFormat="false" ht="15" hidden="false" customHeight="false" outlineLevel="0" collapsed="false">
      <c r="A117" s="9" t="s">
        <v>862</v>
      </c>
      <c r="B117" s="9" t="s">
        <v>879</v>
      </c>
      <c r="C117" s="9" t="n">
        <v>1</v>
      </c>
      <c r="D117" s="9" t="s">
        <v>794</v>
      </c>
    </row>
    <row r="118" customFormat="false" ht="15" hidden="false" customHeight="false" outlineLevel="0" collapsed="false">
      <c r="A118" s="9" t="s">
        <v>862</v>
      </c>
      <c r="B118" s="9" t="s">
        <v>880</v>
      </c>
      <c r="C118" s="9" t="n">
        <v>1</v>
      </c>
      <c r="D118" s="9" t="s">
        <v>794</v>
      </c>
    </row>
    <row r="119" customFormat="false" ht="15" hidden="false" customHeight="false" outlineLevel="0" collapsed="false">
      <c r="A119" s="9" t="s">
        <v>881</v>
      </c>
      <c r="B119" s="9" t="s">
        <v>882</v>
      </c>
      <c r="C119" s="9" t="n">
        <v>58</v>
      </c>
      <c r="D119" s="9" t="s">
        <v>883</v>
      </c>
    </row>
    <row r="120" customFormat="false" ht="15" hidden="false" customHeight="false" outlineLevel="0" collapsed="false">
      <c r="A120" s="9" t="s">
        <v>881</v>
      </c>
      <c r="B120" s="9" t="s">
        <v>778</v>
      </c>
      <c r="C120" s="9" t="n">
        <v>55</v>
      </c>
      <c r="D120" s="9" t="s">
        <v>884</v>
      </c>
    </row>
    <row r="121" customFormat="false" ht="15" hidden="false" customHeight="false" outlineLevel="0" collapsed="false">
      <c r="A121" s="9" t="s">
        <v>881</v>
      </c>
      <c r="B121" s="9" t="s">
        <v>885</v>
      </c>
      <c r="C121" s="9" t="n">
        <v>48</v>
      </c>
      <c r="D121" s="9" t="s">
        <v>883</v>
      </c>
    </row>
    <row r="122" customFormat="false" ht="15" hidden="false" customHeight="false" outlineLevel="0" collapsed="false">
      <c r="A122" s="9" t="s">
        <v>881</v>
      </c>
      <c r="B122" s="9" t="s">
        <v>886</v>
      </c>
      <c r="C122" s="9" t="n">
        <v>43</v>
      </c>
      <c r="D122" s="9" t="s">
        <v>884</v>
      </c>
    </row>
    <row r="123" customFormat="false" ht="15" hidden="false" customHeight="false" outlineLevel="0" collapsed="false">
      <c r="A123" s="9" t="s">
        <v>881</v>
      </c>
      <c r="B123" s="9" t="s">
        <v>887</v>
      </c>
      <c r="C123" s="9" t="n">
        <v>42</v>
      </c>
      <c r="D123" s="9" t="s">
        <v>888</v>
      </c>
    </row>
    <row r="124" customFormat="false" ht="15" hidden="false" customHeight="false" outlineLevel="0" collapsed="false">
      <c r="A124" s="9" t="s">
        <v>881</v>
      </c>
      <c r="B124" s="9" t="s">
        <v>829</v>
      </c>
      <c r="C124" s="9" t="n">
        <v>36</v>
      </c>
      <c r="D124" s="9" t="s">
        <v>889</v>
      </c>
    </row>
    <row r="125" customFormat="false" ht="15" hidden="false" customHeight="false" outlineLevel="0" collapsed="false">
      <c r="A125" s="9" t="s">
        <v>881</v>
      </c>
      <c r="B125" s="9" t="s">
        <v>890</v>
      </c>
      <c r="C125" s="9" t="n">
        <v>13</v>
      </c>
      <c r="D125" s="9" t="s">
        <v>891</v>
      </c>
    </row>
    <row r="126" customFormat="false" ht="15" hidden="false" customHeight="false" outlineLevel="0" collapsed="false">
      <c r="A126" s="9" t="s">
        <v>881</v>
      </c>
      <c r="B126" s="9" t="s">
        <v>812</v>
      </c>
      <c r="C126" s="9" t="n">
        <v>10</v>
      </c>
      <c r="D126" s="9" t="s">
        <v>892</v>
      </c>
    </row>
    <row r="127" customFormat="false" ht="15" hidden="false" customHeight="false" outlineLevel="0" collapsed="false">
      <c r="A127" s="9" t="s">
        <v>881</v>
      </c>
      <c r="B127" s="9" t="s">
        <v>893</v>
      </c>
      <c r="C127" s="9" t="n">
        <v>9</v>
      </c>
      <c r="D127" s="9" t="s">
        <v>889</v>
      </c>
    </row>
    <row r="128" customFormat="false" ht="15" hidden="false" customHeight="false" outlineLevel="0" collapsed="false">
      <c r="A128" s="9" t="s">
        <v>881</v>
      </c>
      <c r="B128" s="9" t="s">
        <v>803</v>
      </c>
      <c r="C128" s="9" t="n">
        <v>9</v>
      </c>
      <c r="D128" s="9" t="s">
        <v>891</v>
      </c>
    </row>
    <row r="129" customFormat="false" ht="15" hidden="false" customHeight="false" outlineLevel="0" collapsed="false">
      <c r="A129" s="9" t="s">
        <v>881</v>
      </c>
      <c r="B129" s="9" t="s">
        <v>857</v>
      </c>
      <c r="C129" s="9" t="n">
        <v>6</v>
      </c>
      <c r="D129" s="9" t="s">
        <v>892</v>
      </c>
    </row>
    <row r="130" customFormat="false" ht="15" hidden="false" customHeight="false" outlineLevel="0" collapsed="false">
      <c r="A130" s="9" t="s">
        <v>881</v>
      </c>
      <c r="B130" s="9" t="s">
        <v>791</v>
      </c>
      <c r="C130" s="9" t="n">
        <v>4</v>
      </c>
      <c r="D130" s="9" t="s">
        <v>888</v>
      </c>
    </row>
    <row r="131" customFormat="false" ht="15" hidden="false" customHeight="false" outlineLevel="0" collapsed="false">
      <c r="A131" s="9" t="s">
        <v>881</v>
      </c>
      <c r="B131" s="9" t="s">
        <v>894</v>
      </c>
      <c r="C131" s="9" t="n">
        <v>3</v>
      </c>
      <c r="D131" s="9" t="s">
        <v>888</v>
      </c>
    </row>
    <row r="132" customFormat="false" ht="15" hidden="false" customHeight="false" outlineLevel="0" collapsed="false">
      <c r="A132" s="9" t="s">
        <v>881</v>
      </c>
      <c r="B132" s="9" t="s">
        <v>895</v>
      </c>
      <c r="C132" s="9" t="n">
        <v>2</v>
      </c>
      <c r="D132" s="9" t="s">
        <v>891</v>
      </c>
    </row>
    <row r="133" customFormat="false" ht="15" hidden="false" customHeight="false" outlineLevel="0" collapsed="false">
      <c r="A133" s="9" t="s">
        <v>881</v>
      </c>
      <c r="B133" s="9" t="s">
        <v>799</v>
      </c>
      <c r="C133" s="9" t="n">
        <v>2</v>
      </c>
      <c r="D133" s="9"/>
    </row>
    <row r="134" customFormat="false" ht="15" hidden="false" customHeight="false" outlineLevel="0" collapsed="false">
      <c r="A134" s="9" t="s">
        <v>881</v>
      </c>
      <c r="B134" s="9" t="s">
        <v>896</v>
      </c>
      <c r="C134" s="9" t="n">
        <v>2</v>
      </c>
      <c r="D134" s="9"/>
    </row>
    <row r="135" customFormat="false" ht="15" hidden="false" customHeight="false" outlineLevel="0" collapsed="false">
      <c r="A135" s="9" t="s">
        <v>881</v>
      </c>
      <c r="B135" s="9" t="s">
        <v>897</v>
      </c>
      <c r="C135" s="9" t="n">
        <v>1</v>
      </c>
      <c r="D135" s="9"/>
    </row>
    <row r="136" customFormat="false" ht="15" hidden="false" customHeight="false" outlineLevel="0" collapsed="false">
      <c r="A136" s="9" t="s">
        <v>898</v>
      </c>
      <c r="B136" s="9" t="s">
        <v>899</v>
      </c>
      <c r="C136" s="9" t="n">
        <v>21</v>
      </c>
      <c r="D136" s="9" t="s">
        <v>794</v>
      </c>
    </row>
    <row r="137" customFormat="false" ht="15" hidden="false" customHeight="false" outlineLevel="0" collapsed="false">
      <c r="A137" s="9" t="s">
        <v>898</v>
      </c>
      <c r="B137" s="9" t="s">
        <v>741</v>
      </c>
      <c r="C137" s="9" t="n">
        <v>17</v>
      </c>
      <c r="D137" s="9" t="s">
        <v>794</v>
      </c>
    </row>
    <row r="138" customFormat="false" ht="15" hidden="false" customHeight="false" outlineLevel="0" collapsed="false">
      <c r="A138" s="9" t="s">
        <v>898</v>
      </c>
      <c r="B138" s="9" t="s">
        <v>900</v>
      </c>
      <c r="C138" s="9" t="n">
        <v>10</v>
      </c>
      <c r="D138" s="9" t="s">
        <v>794</v>
      </c>
    </row>
    <row r="139" customFormat="false" ht="15" hidden="false" customHeight="false" outlineLevel="0" collapsed="false">
      <c r="A139" s="9" t="s">
        <v>898</v>
      </c>
      <c r="B139" s="9" t="s">
        <v>901</v>
      </c>
      <c r="C139" s="9" t="n">
        <v>9</v>
      </c>
      <c r="D139" s="9" t="s">
        <v>794</v>
      </c>
    </row>
    <row r="140" customFormat="false" ht="15" hidden="false" customHeight="false" outlineLevel="0" collapsed="false">
      <c r="A140" s="9" t="s">
        <v>898</v>
      </c>
      <c r="B140" s="9" t="s">
        <v>902</v>
      </c>
      <c r="C140" s="9" t="n">
        <v>5</v>
      </c>
      <c r="D140" s="9" t="s">
        <v>794</v>
      </c>
    </row>
    <row r="141" customFormat="false" ht="15" hidden="false" customHeight="false" outlineLevel="0" collapsed="false">
      <c r="A141" s="9" t="s">
        <v>898</v>
      </c>
      <c r="B141" s="9" t="s">
        <v>903</v>
      </c>
      <c r="C141" s="9" t="n">
        <v>5</v>
      </c>
      <c r="D141" s="9" t="s">
        <v>794</v>
      </c>
    </row>
    <row r="142" customFormat="false" ht="15" hidden="false" customHeight="false" outlineLevel="0" collapsed="false">
      <c r="A142" s="9" t="s">
        <v>898</v>
      </c>
      <c r="B142" s="9" t="s">
        <v>904</v>
      </c>
      <c r="C142" s="9" t="n">
        <v>5</v>
      </c>
      <c r="D142" s="9" t="s">
        <v>794</v>
      </c>
    </row>
    <row r="143" customFormat="false" ht="15" hidden="false" customHeight="false" outlineLevel="0" collapsed="false">
      <c r="A143" s="9" t="s">
        <v>898</v>
      </c>
      <c r="B143" s="9" t="s">
        <v>905</v>
      </c>
      <c r="C143" s="9" t="n">
        <v>5</v>
      </c>
      <c r="D143" s="9" t="s">
        <v>794</v>
      </c>
    </row>
    <row r="144" customFormat="false" ht="15" hidden="false" customHeight="false" outlineLevel="0" collapsed="false">
      <c r="A144" s="9" t="s">
        <v>898</v>
      </c>
      <c r="B144" s="9" t="s">
        <v>906</v>
      </c>
      <c r="C144" s="9" t="n">
        <v>4</v>
      </c>
      <c r="D144" s="9" t="s">
        <v>794</v>
      </c>
    </row>
    <row r="145" customFormat="false" ht="15" hidden="false" customHeight="false" outlineLevel="0" collapsed="false">
      <c r="A145" s="9" t="s">
        <v>898</v>
      </c>
      <c r="B145" s="9" t="s">
        <v>907</v>
      </c>
      <c r="C145" s="9" t="n">
        <v>4</v>
      </c>
      <c r="D145" s="9" t="s">
        <v>794</v>
      </c>
    </row>
    <row r="146" customFormat="false" ht="15" hidden="false" customHeight="false" outlineLevel="0" collapsed="false">
      <c r="A146" s="9" t="s">
        <v>898</v>
      </c>
      <c r="B146" s="9" t="s">
        <v>908</v>
      </c>
      <c r="C146" s="9" t="n">
        <v>2</v>
      </c>
      <c r="D146" s="9" t="s">
        <v>794</v>
      </c>
    </row>
    <row r="147" customFormat="false" ht="15" hidden="false" customHeight="false" outlineLevel="0" collapsed="false">
      <c r="A147" s="9" t="s">
        <v>898</v>
      </c>
      <c r="B147" s="9" t="s">
        <v>909</v>
      </c>
      <c r="C147" s="9" t="n">
        <v>2</v>
      </c>
      <c r="D147" s="9" t="s">
        <v>794</v>
      </c>
    </row>
    <row r="148" customFormat="false" ht="15" hidden="false" customHeight="false" outlineLevel="0" collapsed="false">
      <c r="A148" s="9" t="s">
        <v>898</v>
      </c>
      <c r="B148" s="9" t="s">
        <v>739</v>
      </c>
      <c r="C148" s="9" t="n">
        <v>1</v>
      </c>
      <c r="D148" s="9" t="s">
        <v>794</v>
      </c>
    </row>
    <row r="149" customFormat="false" ht="15" hidden="false" customHeight="false" outlineLevel="0" collapsed="false">
      <c r="A149" s="9" t="s">
        <v>898</v>
      </c>
      <c r="B149" s="9" t="s">
        <v>745</v>
      </c>
      <c r="C149" s="9" t="n">
        <v>1</v>
      </c>
      <c r="D149" s="9" t="s">
        <v>794</v>
      </c>
    </row>
    <row r="150" customFormat="false" ht="15" hidden="false" customHeight="false" outlineLevel="0" collapsed="false">
      <c r="A150" s="9" t="s">
        <v>898</v>
      </c>
      <c r="B150" s="9" t="s">
        <v>910</v>
      </c>
      <c r="C150" s="9" t="n">
        <v>1</v>
      </c>
      <c r="D150" s="9" t="s">
        <v>794</v>
      </c>
    </row>
    <row r="151" customFormat="false" ht="15" hidden="false" customHeight="false" outlineLevel="0" collapsed="false">
      <c r="A151" s="9" t="s">
        <v>898</v>
      </c>
      <c r="B151" s="9" t="s">
        <v>911</v>
      </c>
      <c r="C151" s="9" t="n">
        <v>1</v>
      </c>
      <c r="D151" s="9" t="s">
        <v>794</v>
      </c>
    </row>
    <row r="152" customFormat="false" ht="15" hidden="false" customHeight="false" outlineLevel="0" collapsed="false">
      <c r="A152" s="9" t="s">
        <v>898</v>
      </c>
      <c r="B152" s="9" t="s">
        <v>749</v>
      </c>
      <c r="C152" s="9" t="n">
        <v>1</v>
      </c>
      <c r="D152" s="9" t="s">
        <v>794</v>
      </c>
    </row>
    <row r="153" customFormat="false" ht="15" hidden="false" customHeight="false" outlineLevel="0" collapsed="false">
      <c r="A153" s="9" t="s">
        <v>898</v>
      </c>
      <c r="B153" s="9" t="s">
        <v>912</v>
      </c>
      <c r="C153" s="9" t="n">
        <v>1</v>
      </c>
      <c r="D153" s="9" t="s">
        <v>794</v>
      </c>
    </row>
    <row r="154" customFormat="false" ht="15" hidden="false" customHeight="false" outlineLevel="0" collapsed="false">
      <c r="A154" s="9" t="s">
        <v>913</v>
      </c>
      <c r="B154" s="9" t="s">
        <v>914</v>
      </c>
      <c r="C154" s="9" t="n">
        <v>111</v>
      </c>
      <c r="D154" s="9" t="s">
        <v>914</v>
      </c>
    </row>
    <row r="155" customFormat="false" ht="15" hidden="false" customHeight="false" outlineLevel="0" collapsed="false">
      <c r="A155" s="9" t="s">
        <v>913</v>
      </c>
      <c r="B155" s="9" t="s">
        <v>915</v>
      </c>
      <c r="C155" s="9" t="n">
        <v>29</v>
      </c>
      <c r="D155" s="9" t="s">
        <v>915</v>
      </c>
    </row>
    <row r="156" customFormat="false" ht="15" hidden="false" customHeight="false" outlineLevel="0" collapsed="false">
      <c r="A156" s="9" t="s">
        <v>913</v>
      </c>
      <c r="B156" s="9" t="s">
        <v>916</v>
      </c>
      <c r="C156" s="9" t="n">
        <v>6</v>
      </c>
      <c r="D156" s="9" t="s">
        <v>917</v>
      </c>
    </row>
    <row r="157" customFormat="false" ht="15" hidden="false" customHeight="false" outlineLevel="0" collapsed="false">
      <c r="A157" s="9" t="s">
        <v>913</v>
      </c>
      <c r="B157" s="9" t="s">
        <v>918</v>
      </c>
      <c r="C157" s="9" t="n">
        <v>5</v>
      </c>
      <c r="D157" s="9" t="s">
        <v>918</v>
      </c>
    </row>
    <row r="158" customFormat="false" ht="15" hidden="false" customHeight="false" outlineLevel="0" collapsed="false">
      <c r="A158" s="9" t="s">
        <v>913</v>
      </c>
      <c r="B158" s="9" t="s">
        <v>919</v>
      </c>
      <c r="C158" s="9" t="n">
        <v>3</v>
      </c>
      <c r="D158" s="9" t="s">
        <v>919</v>
      </c>
    </row>
    <row r="159" customFormat="false" ht="15" hidden="false" customHeight="false" outlineLevel="0" collapsed="false">
      <c r="A159" s="9" t="s">
        <v>920</v>
      </c>
      <c r="B159" s="9" t="s">
        <v>921</v>
      </c>
      <c r="C159" s="9" t="n">
        <v>15</v>
      </c>
      <c r="D159" s="9" t="s">
        <v>794</v>
      </c>
    </row>
    <row r="160" customFormat="false" ht="15" hidden="false" customHeight="false" outlineLevel="0" collapsed="false">
      <c r="A160" s="9" t="s">
        <v>920</v>
      </c>
      <c r="B160" s="9" t="s">
        <v>922</v>
      </c>
      <c r="C160" s="9" t="n">
        <v>12</v>
      </c>
      <c r="D160" s="9" t="s">
        <v>794</v>
      </c>
    </row>
    <row r="161" customFormat="false" ht="15" hidden="false" customHeight="false" outlineLevel="0" collapsed="false">
      <c r="A161" s="9" t="s">
        <v>920</v>
      </c>
      <c r="B161" s="9" t="s">
        <v>923</v>
      </c>
      <c r="C161" s="9" t="n">
        <v>5</v>
      </c>
      <c r="D161" s="9" t="s">
        <v>794</v>
      </c>
    </row>
    <row r="162" customFormat="false" ht="15" hidden="false" customHeight="false" outlineLevel="0" collapsed="false">
      <c r="A162" s="9" t="s">
        <v>920</v>
      </c>
      <c r="B162" s="9" t="s">
        <v>924</v>
      </c>
      <c r="C162" s="9" t="n">
        <v>2</v>
      </c>
      <c r="D162" s="9" t="s">
        <v>794</v>
      </c>
    </row>
    <row r="163" customFormat="false" ht="15" hidden="false" customHeight="false" outlineLevel="0" collapsed="false">
      <c r="A163" s="9" t="s">
        <v>920</v>
      </c>
      <c r="B163" s="9" t="s">
        <v>925</v>
      </c>
      <c r="C163" s="9" t="n">
        <v>2</v>
      </c>
      <c r="D163" s="9" t="s">
        <v>794</v>
      </c>
    </row>
    <row r="164" customFormat="false" ht="15" hidden="false" customHeight="false" outlineLevel="0" collapsed="false">
      <c r="A164" s="9" t="s">
        <v>920</v>
      </c>
      <c r="B164" s="9" t="s">
        <v>926</v>
      </c>
      <c r="C164" s="9" t="n">
        <v>2</v>
      </c>
      <c r="D164" s="9" t="s">
        <v>794</v>
      </c>
    </row>
    <row r="165" customFormat="false" ht="15" hidden="false" customHeight="false" outlineLevel="0" collapsed="false">
      <c r="A165" s="9" t="s">
        <v>920</v>
      </c>
      <c r="B165" s="9" t="s">
        <v>927</v>
      </c>
      <c r="C165" s="9" t="n">
        <v>1</v>
      </c>
      <c r="D165" s="9" t="s">
        <v>794</v>
      </c>
    </row>
    <row r="166" customFormat="false" ht="15" hidden="false" customHeight="false" outlineLevel="0" collapsed="false">
      <c r="A166" s="9" t="s">
        <v>920</v>
      </c>
      <c r="B166" s="9" t="s">
        <v>928</v>
      </c>
      <c r="C166" s="9" t="n">
        <v>1</v>
      </c>
      <c r="D166" s="9" t="s">
        <v>794</v>
      </c>
    </row>
    <row r="167" customFormat="false" ht="15" hidden="false" customHeight="false" outlineLevel="0" collapsed="false">
      <c r="A167" s="9" t="s">
        <v>920</v>
      </c>
      <c r="B167" s="9" t="s">
        <v>929</v>
      </c>
      <c r="C167" s="9" t="n">
        <v>1</v>
      </c>
      <c r="D167" s="9" t="s">
        <v>794</v>
      </c>
    </row>
    <row r="168" customFormat="false" ht="15" hidden="false" customHeight="false" outlineLevel="0" collapsed="false">
      <c r="A168" s="9" t="s">
        <v>920</v>
      </c>
      <c r="B168" s="9" t="s">
        <v>800</v>
      </c>
      <c r="C168" s="9" t="n">
        <v>1</v>
      </c>
      <c r="D168" s="9" t="s">
        <v>794</v>
      </c>
    </row>
    <row r="169" customFormat="false" ht="15" hidden="false" customHeight="false" outlineLevel="0" collapsed="false">
      <c r="A169" s="9" t="s">
        <v>920</v>
      </c>
      <c r="B169" s="9" t="s">
        <v>930</v>
      </c>
      <c r="C169" s="9" t="n">
        <v>1</v>
      </c>
      <c r="D169" s="9" t="s">
        <v>794</v>
      </c>
    </row>
    <row r="170" customFormat="false" ht="15" hidden="false" customHeight="false" outlineLevel="0" collapsed="false">
      <c r="A170" s="9" t="s">
        <v>920</v>
      </c>
      <c r="B170" s="9" t="s">
        <v>931</v>
      </c>
      <c r="C170" s="9" t="n">
        <v>1</v>
      </c>
      <c r="D170" s="9" t="s">
        <v>794</v>
      </c>
    </row>
    <row r="171" customFormat="false" ht="15" hidden="false" customHeight="false" outlineLevel="0" collapsed="false">
      <c r="A171" s="9" t="s">
        <v>932</v>
      </c>
      <c r="B171" s="9" t="s">
        <v>933</v>
      </c>
      <c r="C171" s="9" t="n">
        <v>33</v>
      </c>
      <c r="D171" s="9" t="s">
        <v>933</v>
      </c>
    </row>
    <row r="172" customFormat="false" ht="15" hidden="false" customHeight="false" outlineLevel="0" collapsed="false">
      <c r="A172" s="9" t="s">
        <v>932</v>
      </c>
      <c r="B172" s="9" t="s">
        <v>934</v>
      </c>
      <c r="C172" s="9" t="n">
        <v>1</v>
      </c>
      <c r="D172" s="9"/>
    </row>
    <row r="173" customFormat="false" ht="23.85" hidden="false" customHeight="false" outlineLevel="0" collapsed="false">
      <c r="A173" s="9" t="s">
        <v>932</v>
      </c>
      <c r="B173" s="9" t="s">
        <v>935</v>
      </c>
      <c r="C173" s="9" t="n">
        <v>1</v>
      </c>
      <c r="D173" s="9" t="s">
        <v>935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6"/>
    <col collapsed="false" customWidth="true" hidden="false" outlineLevel="0" max="3" min="3" style="0" width="34"/>
    <col collapsed="false" customWidth="true" hidden="false" outlineLevel="0" max="4" min="4" style="0" width="36"/>
  </cols>
  <sheetData>
    <row r="1" customFormat="false" ht="15" hidden="false" customHeight="false" outlineLevel="0" collapsed="false">
      <c r="A1" s="8" t="s">
        <v>149</v>
      </c>
      <c r="B1" s="8" t="s">
        <v>936</v>
      </c>
      <c r="C1" s="8" t="s">
        <v>3</v>
      </c>
      <c r="D1" s="8" t="s">
        <v>937</v>
      </c>
    </row>
    <row r="2" customFormat="false" ht="15" hidden="false" customHeight="false" outlineLevel="0" collapsed="false">
      <c r="A2" s="9" t="s">
        <v>238</v>
      </c>
      <c r="B2" s="9" t="s">
        <v>938</v>
      </c>
      <c r="C2" s="9" t="s">
        <v>939</v>
      </c>
      <c r="D2" s="9"/>
    </row>
    <row r="3" customFormat="false" ht="15" hidden="false" customHeight="false" outlineLevel="0" collapsed="false">
      <c r="A3" s="9" t="s">
        <v>238</v>
      </c>
      <c r="B3" s="9" t="s">
        <v>938</v>
      </c>
      <c r="C3" s="9" t="s">
        <v>940</v>
      </c>
      <c r="D3" s="9"/>
    </row>
    <row r="4" customFormat="false" ht="15" hidden="false" customHeight="false" outlineLevel="0" collapsed="false">
      <c r="A4" s="9" t="s">
        <v>238</v>
      </c>
      <c r="B4" s="9" t="s">
        <v>938</v>
      </c>
      <c r="C4" s="9" t="s">
        <v>941</v>
      </c>
      <c r="D4" s="9"/>
    </row>
    <row r="5" customFormat="false" ht="15" hidden="false" customHeight="false" outlineLevel="0" collapsed="false">
      <c r="A5" s="9" t="s">
        <v>239</v>
      </c>
      <c r="B5" s="9" t="s">
        <v>938</v>
      </c>
      <c r="C5" s="9" t="s">
        <v>942</v>
      </c>
      <c r="D5" s="9"/>
    </row>
    <row r="6" customFormat="false" ht="15" hidden="false" customHeight="false" outlineLevel="0" collapsed="false">
      <c r="A6" s="9" t="s">
        <v>239</v>
      </c>
      <c r="B6" s="9" t="s">
        <v>938</v>
      </c>
      <c r="C6" s="9" t="s">
        <v>943</v>
      </c>
      <c r="D6" s="9"/>
    </row>
    <row r="7" customFormat="false" ht="15" hidden="false" customHeight="false" outlineLevel="0" collapsed="false">
      <c r="A7" s="9" t="s">
        <v>239</v>
      </c>
      <c r="B7" s="9" t="s">
        <v>938</v>
      </c>
      <c r="C7" s="9" t="s">
        <v>944</v>
      </c>
      <c r="D7" s="9"/>
    </row>
    <row r="8" customFormat="false" ht="15" hidden="false" customHeight="false" outlineLevel="0" collapsed="false">
      <c r="A8" s="9" t="s">
        <v>239</v>
      </c>
      <c r="B8" s="9" t="s">
        <v>938</v>
      </c>
      <c r="C8" s="9" t="s">
        <v>945</v>
      </c>
      <c r="D8" s="9"/>
    </row>
    <row r="9" customFormat="false" ht="15" hidden="false" customHeight="false" outlineLevel="0" collapsed="false">
      <c r="A9" s="9" t="s">
        <v>239</v>
      </c>
      <c r="B9" s="9" t="s">
        <v>938</v>
      </c>
      <c r="C9" s="9" t="s">
        <v>946</v>
      </c>
      <c r="D9" s="9"/>
    </row>
    <row r="10" customFormat="false" ht="15" hidden="false" customHeight="false" outlineLevel="0" collapsed="false">
      <c r="A10" s="9" t="s">
        <v>239</v>
      </c>
      <c r="B10" s="9" t="s">
        <v>938</v>
      </c>
      <c r="C10" s="9" t="s">
        <v>947</v>
      </c>
      <c r="D10" s="9"/>
    </row>
    <row r="11" customFormat="false" ht="15" hidden="false" customHeight="false" outlineLevel="0" collapsed="false">
      <c r="A11" s="9" t="s">
        <v>190</v>
      </c>
      <c r="B11" s="9" t="s">
        <v>948</v>
      </c>
      <c r="C11" s="9" t="s">
        <v>949</v>
      </c>
      <c r="D11" s="9" t="s">
        <v>950</v>
      </c>
    </row>
    <row r="12" customFormat="false" ht="15" hidden="false" customHeight="false" outlineLevel="0" collapsed="false">
      <c r="A12" s="9" t="s">
        <v>178</v>
      </c>
      <c r="B12" s="9" t="s">
        <v>948</v>
      </c>
      <c r="C12" s="9" t="s">
        <v>949</v>
      </c>
      <c r="D12" s="9" t="s">
        <v>950</v>
      </c>
    </row>
    <row r="13" customFormat="false" ht="15" hidden="false" customHeight="false" outlineLevel="0" collapsed="false">
      <c r="A13" s="9" t="s">
        <v>171</v>
      </c>
      <c r="B13" s="9" t="s">
        <v>948</v>
      </c>
      <c r="C13" s="9" t="s">
        <v>949</v>
      </c>
      <c r="D13" s="9" t="s">
        <v>950</v>
      </c>
    </row>
    <row r="14" customFormat="false" ht="15" hidden="false" customHeight="false" outlineLevel="0" collapsed="false">
      <c r="A14" s="9" t="s">
        <v>192</v>
      </c>
      <c r="B14" s="9" t="s">
        <v>948</v>
      </c>
      <c r="C14" s="9" t="s">
        <v>949</v>
      </c>
      <c r="D14" s="9" t="s">
        <v>950</v>
      </c>
    </row>
    <row r="15" customFormat="false" ht="15" hidden="false" customHeight="false" outlineLevel="0" collapsed="false">
      <c r="A15" s="9" t="s">
        <v>187</v>
      </c>
      <c r="B15" s="9" t="s">
        <v>948</v>
      </c>
      <c r="C15" s="9" t="s">
        <v>949</v>
      </c>
      <c r="D15" s="9" t="s">
        <v>950</v>
      </c>
    </row>
    <row r="16" customFormat="false" ht="15" hidden="false" customHeight="false" outlineLevel="0" collapsed="false">
      <c r="A16" s="9" t="s">
        <v>266</v>
      </c>
      <c r="B16" s="9" t="s">
        <v>948</v>
      </c>
      <c r="C16" s="9" t="s">
        <v>951</v>
      </c>
      <c r="D16" s="9" t="s">
        <v>950</v>
      </c>
    </row>
    <row r="17" customFormat="false" ht="15" hidden="false" customHeight="false" outlineLevel="0" collapsed="false">
      <c r="A17" s="9" t="s">
        <v>268</v>
      </c>
      <c r="B17" s="9" t="s">
        <v>952</v>
      </c>
      <c r="C17" s="9" t="s">
        <v>953</v>
      </c>
      <c r="D17" s="9"/>
    </row>
    <row r="18" customFormat="false" ht="15" hidden="false" customHeight="false" outlineLevel="0" collapsed="false">
      <c r="A18" s="9" t="s">
        <v>268</v>
      </c>
      <c r="B18" s="9" t="s">
        <v>952</v>
      </c>
      <c r="C18" s="9" t="s">
        <v>954</v>
      </c>
      <c r="D18" s="9"/>
    </row>
    <row r="19" customFormat="false" ht="15" hidden="false" customHeight="false" outlineLevel="0" collapsed="false">
      <c r="A19" s="9" t="s">
        <v>268</v>
      </c>
      <c r="B19" s="9" t="s">
        <v>952</v>
      </c>
      <c r="C19" s="9" t="s">
        <v>955</v>
      </c>
      <c r="D19" s="9"/>
    </row>
    <row r="20" customFormat="false" ht="15" hidden="false" customHeight="false" outlineLevel="0" collapsed="false">
      <c r="A20" s="9" t="s">
        <v>196</v>
      </c>
      <c r="B20" s="9" t="s">
        <v>956</v>
      </c>
      <c r="C20" s="9" t="s">
        <v>462</v>
      </c>
      <c r="D20" s="9" t="s">
        <v>461</v>
      </c>
    </row>
    <row r="21" customFormat="false" ht="15" hidden="false" customHeight="false" outlineLevel="0" collapsed="false">
      <c r="A21" s="9" t="s">
        <v>174</v>
      </c>
      <c r="B21" s="9" t="s">
        <v>956</v>
      </c>
      <c r="C21" s="9" t="s">
        <v>957</v>
      </c>
      <c r="D21" s="9" t="s">
        <v>950</v>
      </c>
    </row>
    <row r="22" customFormat="false" ht="15" hidden="false" customHeight="false" outlineLevel="0" collapsed="false">
      <c r="A22" s="9" t="s">
        <v>174</v>
      </c>
      <c r="B22" s="9" t="s">
        <v>956</v>
      </c>
      <c r="C22" s="9" t="s">
        <v>957</v>
      </c>
      <c r="D22" s="9" t="s">
        <v>950</v>
      </c>
    </row>
    <row r="23" customFormat="false" ht="23.85" hidden="false" customHeight="false" outlineLevel="0" collapsed="false">
      <c r="A23" s="9" t="s">
        <v>174</v>
      </c>
      <c r="B23" s="9" t="s">
        <v>956</v>
      </c>
      <c r="C23" s="9" t="s">
        <v>958</v>
      </c>
      <c r="D23" s="9" t="s">
        <v>959</v>
      </c>
    </row>
    <row r="24" customFormat="false" ht="15" hidden="false" customHeight="false" outlineLevel="0" collapsed="false">
      <c r="A24" s="9" t="s">
        <v>174</v>
      </c>
      <c r="B24" s="9" t="s">
        <v>956</v>
      </c>
      <c r="C24" s="9" t="s">
        <v>957</v>
      </c>
      <c r="D24" s="9" t="s">
        <v>950</v>
      </c>
    </row>
    <row r="25" customFormat="false" ht="15" hidden="false" customHeight="false" outlineLevel="0" collapsed="false">
      <c r="A25" s="9" t="s">
        <v>183</v>
      </c>
      <c r="B25" s="9" t="s">
        <v>956</v>
      </c>
      <c r="C25" s="9" t="s">
        <v>462</v>
      </c>
      <c r="D25" s="9" t="s">
        <v>461</v>
      </c>
    </row>
    <row r="26" customFormat="false" ht="15" hidden="false" customHeight="false" outlineLevel="0" collapsed="false">
      <c r="A26" s="9" t="s">
        <v>163</v>
      </c>
      <c r="B26" s="9" t="s">
        <v>948</v>
      </c>
      <c r="C26" s="9" t="s">
        <v>949</v>
      </c>
      <c r="D26" s="9" t="s">
        <v>950</v>
      </c>
    </row>
    <row r="27" customFormat="false" ht="15" hidden="false" customHeight="false" outlineLevel="0" collapsed="false">
      <c r="A27" s="9" t="s">
        <v>161</v>
      </c>
      <c r="B27" s="9" t="s">
        <v>948</v>
      </c>
      <c r="C27" s="9" t="s">
        <v>949</v>
      </c>
      <c r="D27" s="9" t="s">
        <v>950</v>
      </c>
    </row>
    <row r="28" customFormat="false" ht="15" hidden="false" customHeight="false" outlineLevel="0" collapsed="false">
      <c r="A28" s="9" t="s">
        <v>175</v>
      </c>
      <c r="B28" s="9" t="s">
        <v>952</v>
      </c>
      <c r="C28" s="9" t="s">
        <v>960</v>
      </c>
      <c r="D28" s="9"/>
    </row>
    <row r="29" customFormat="false" ht="15" hidden="false" customHeight="false" outlineLevel="0" collapsed="false">
      <c r="A29" s="9" t="s">
        <v>175</v>
      </c>
      <c r="B29" s="9" t="s">
        <v>952</v>
      </c>
      <c r="C29" s="9" t="s">
        <v>961</v>
      </c>
      <c r="D29" s="9"/>
    </row>
    <row r="30" customFormat="false" ht="15" hidden="false" customHeight="false" outlineLevel="0" collapsed="false">
      <c r="A30" s="9" t="s">
        <v>175</v>
      </c>
      <c r="B30" s="9" t="s">
        <v>952</v>
      </c>
      <c r="C30" s="9" t="s">
        <v>961</v>
      </c>
      <c r="D30" s="9"/>
    </row>
    <row r="31" customFormat="false" ht="15" hidden="false" customHeight="false" outlineLevel="0" collapsed="false">
      <c r="A31" s="9" t="s">
        <v>175</v>
      </c>
      <c r="B31" s="9" t="s">
        <v>952</v>
      </c>
      <c r="C31" s="9" t="s">
        <v>961</v>
      </c>
      <c r="D31" s="9"/>
    </row>
    <row r="32" customFormat="false" ht="15" hidden="false" customHeight="false" outlineLevel="0" collapsed="false">
      <c r="A32" s="9" t="s">
        <v>175</v>
      </c>
      <c r="B32" s="9" t="s">
        <v>952</v>
      </c>
      <c r="C32" s="9" t="s">
        <v>960</v>
      </c>
      <c r="D32" s="9"/>
    </row>
    <row r="33" customFormat="false" ht="15" hidden="false" customHeight="false" outlineLevel="0" collapsed="false">
      <c r="A33" s="9" t="s">
        <v>175</v>
      </c>
      <c r="B33" s="9" t="s">
        <v>952</v>
      </c>
      <c r="C33" s="9" t="s">
        <v>960</v>
      </c>
      <c r="D33" s="9"/>
    </row>
    <row r="34" customFormat="false" ht="15" hidden="false" customHeight="false" outlineLevel="0" collapsed="false">
      <c r="A34" s="9" t="s">
        <v>175</v>
      </c>
      <c r="B34" s="9" t="s">
        <v>952</v>
      </c>
      <c r="C34" s="9" t="s">
        <v>961</v>
      </c>
      <c r="D34" s="9"/>
    </row>
    <row r="35" customFormat="false" ht="15" hidden="false" customHeight="false" outlineLevel="0" collapsed="false">
      <c r="A35" s="9" t="s">
        <v>175</v>
      </c>
      <c r="B35" s="9" t="s">
        <v>952</v>
      </c>
      <c r="C35" s="9" t="s">
        <v>953</v>
      </c>
      <c r="D35" s="9"/>
    </row>
    <row r="36" customFormat="false" ht="15" hidden="false" customHeight="false" outlineLevel="0" collapsed="false">
      <c r="A36" s="9" t="s">
        <v>175</v>
      </c>
      <c r="B36" s="9" t="s">
        <v>952</v>
      </c>
      <c r="C36" s="9" t="s">
        <v>962</v>
      </c>
      <c r="D36" s="9"/>
    </row>
    <row r="37" customFormat="false" ht="15" hidden="false" customHeight="false" outlineLevel="0" collapsed="false">
      <c r="A37" s="9" t="s">
        <v>175</v>
      </c>
      <c r="B37" s="9" t="s">
        <v>952</v>
      </c>
      <c r="C37" s="9" t="s">
        <v>962</v>
      </c>
      <c r="D37" s="9"/>
    </row>
    <row r="38" customFormat="false" ht="15" hidden="false" customHeight="false" outlineLevel="0" collapsed="false">
      <c r="A38" s="9" t="s">
        <v>175</v>
      </c>
      <c r="B38" s="9" t="s">
        <v>952</v>
      </c>
      <c r="C38" s="9" t="s">
        <v>953</v>
      </c>
      <c r="D38" s="9"/>
    </row>
    <row r="39" customFormat="false" ht="15" hidden="false" customHeight="false" outlineLevel="0" collapsed="false">
      <c r="A39" s="9" t="s">
        <v>175</v>
      </c>
      <c r="B39" s="9" t="s">
        <v>952</v>
      </c>
      <c r="C39" s="9" t="s">
        <v>962</v>
      </c>
      <c r="D39" s="9"/>
    </row>
    <row r="40" customFormat="false" ht="15" hidden="false" customHeight="false" outlineLevel="0" collapsed="false">
      <c r="A40" s="9" t="s">
        <v>175</v>
      </c>
      <c r="B40" s="9" t="s">
        <v>952</v>
      </c>
      <c r="C40" s="9" t="s">
        <v>962</v>
      </c>
      <c r="D40" s="9"/>
    </row>
    <row r="41" customFormat="false" ht="15" hidden="false" customHeight="false" outlineLevel="0" collapsed="false">
      <c r="A41" s="9" t="s">
        <v>175</v>
      </c>
      <c r="B41" s="9" t="s">
        <v>952</v>
      </c>
      <c r="C41" s="9" t="s">
        <v>963</v>
      </c>
      <c r="D41" s="9"/>
    </row>
    <row r="42" customFormat="false" ht="15" hidden="false" customHeight="false" outlineLevel="0" collapsed="false">
      <c r="A42" s="9" t="s">
        <v>175</v>
      </c>
      <c r="B42" s="9" t="s">
        <v>952</v>
      </c>
      <c r="C42" s="9" t="s">
        <v>961</v>
      </c>
      <c r="D42" s="9"/>
    </row>
    <row r="43" customFormat="false" ht="15" hidden="false" customHeight="false" outlineLevel="0" collapsed="false">
      <c r="A43" s="9" t="s">
        <v>175</v>
      </c>
      <c r="B43" s="9" t="s">
        <v>952</v>
      </c>
      <c r="C43" s="9" t="s">
        <v>960</v>
      </c>
      <c r="D43" s="9"/>
    </row>
    <row r="44" customFormat="false" ht="15" hidden="false" customHeight="false" outlineLevel="0" collapsed="false">
      <c r="A44" s="9" t="s">
        <v>175</v>
      </c>
      <c r="B44" s="9" t="s">
        <v>952</v>
      </c>
      <c r="C44" s="9" t="s">
        <v>961</v>
      </c>
      <c r="D44" s="9"/>
    </row>
    <row r="45" customFormat="false" ht="15" hidden="false" customHeight="false" outlineLevel="0" collapsed="false">
      <c r="A45" s="9" t="s">
        <v>175</v>
      </c>
      <c r="B45" s="9" t="s">
        <v>952</v>
      </c>
      <c r="C45" s="9" t="s">
        <v>953</v>
      </c>
      <c r="D45" s="9"/>
    </row>
    <row r="46" customFormat="false" ht="15" hidden="false" customHeight="false" outlineLevel="0" collapsed="false">
      <c r="A46" s="9" t="s">
        <v>175</v>
      </c>
      <c r="B46" s="9" t="s">
        <v>952</v>
      </c>
      <c r="C46" s="9" t="s">
        <v>964</v>
      </c>
      <c r="D46" s="9"/>
    </row>
    <row r="47" customFormat="false" ht="15" hidden="false" customHeight="false" outlineLevel="0" collapsed="false">
      <c r="A47" s="9" t="s">
        <v>175</v>
      </c>
      <c r="B47" s="9" t="s">
        <v>952</v>
      </c>
      <c r="C47" s="9" t="s">
        <v>961</v>
      </c>
      <c r="D47" s="9"/>
    </row>
    <row r="48" customFormat="false" ht="15" hidden="false" customHeight="false" outlineLevel="0" collapsed="false">
      <c r="A48" s="9" t="s">
        <v>175</v>
      </c>
      <c r="B48" s="9" t="s">
        <v>952</v>
      </c>
      <c r="C48" s="9" t="s">
        <v>964</v>
      </c>
      <c r="D48" s="9"/>
    </row>
    <row r="49" customFormat="false" ht="15" hidden="false" customHeight="false" outlineLevel="0" collapsed="false">
      <c r="A49" s="9" t="s">
        <v>175</v>
      </c>
      <c r="B49" s="9" t="s">
        <v>952</v>
      </c>
      <c r="C49" s="9" t="s">
        <v>961</v>
      </c>
      <c r="D49" s="9"/>
    </row>
    <row r="50" customFormat="false" ht="15" hidden="false" customHeight="false" outlineLevel="0" collapsed="false">
      <c r="A50" s="9" t="s">
        <v>175</v>
      </c>
      <c r="B50" s="9" t="s">
        <v>952</v>
      </c>
      <c r="C50" s="9" t="s">
        <v>961</v>
      </c>
      <c r="D50" s="9"/>
    </row>
    <row r="51" customFormat="false" ht="15" hidden="false" customHeight="false" outlineLevel="0" collapsed="false">
      <c r="A51" s="9" t="s">
        <v>175</v>
      </c>
      <c r="B51" s="9" t="s">
        <v>952</v>
      </c>
      <c r="C51" s="9" t="s">
        <v>962</v>
      </c>
      <c r="D51" s="9"/>
    </row>
    <row r="52" customFormat="false" ht="15" hidden="false" customHeight="false" outlineLevel="0" collapsed="false">
      <c r="A52" s="9" t="s">
        <v>175</v>
      </c>
      <c r="B52" s="9" t="s">
        <v>952</v>
      </c>
      <c r="C52" s="9" t="s">
        <v>953</v>
      </c>
      <c r="D52" s="9"/>
    </row>
    <row r="53" customFormat="false" ht="15" hidden="false" customHeight="false" outlineLevel="0" collapsed="false">
      <c r="A53" s="9" t="s">
        <v>175</v>
      </c>
      <c r="B53" s="9" t="s">
        <v>952</v>
      </c>
      <c r="C53" s="9" t="s">
        <v>961</v>
      </c>
      <c r="D53" s="9"/>
    </row>
    <row r="54" customFormat="false" ht="15" hidden="false" customHeight="false" outlineLevel="0" collapsed="false">
      <c r="A54" s="9" t="s">
        <v>175</v>
      </c>
      <c r="B54" s="9" t="s">
        <v>952</v>
      </c>
      <c r="C54" s="9" t="s">
        <v>961</v>
      </c>
      <c r="D54" s="9"/>
    </row>
    <row r="55" customFormat="false" ht="15" hidden="false" customHeight="false" outlineLevel="0" collapsed="false">
      <c r="A55" s="9" t="s">
        <v>175</v>
      </c>
      <c r="B55" s="9" t="s">
        <v>952</v>
      </c>
      <c r="C55" s="9" t="s">
        <v>961</v>
      </c>
      <c r="D55" s="9"/>
    </row>
    <row r="56" customFormat="false" ht="15" hidden="false" customHeight="false" outlineLevel="0" collapsed="false">
      <c r="A56" s="9" t="s">
        <v>181</v>
      </c>
      <c r="B56" s="9" t="s">
        <v>952</v>
      </c>
      <c r="C56" s="9" t="s">
        <v>960</v>
      </c>
      <c r="D56" s="9"/>
    </row>
    <row r="57" customFormat="false" ht="15" hidden="false" customHeight="false" outlineLevel="0" collapsed="false">
      <c r="A57" s="9" t="s">
        <v>181</v>
      </c>
      <c r="B57" s="9" t="s">
        <v>952</v>
      </c>
      <c r="C57" s="9" t="s">
        <v>961</v>
      </c>
      <c r="D57" s="9"/>
    </row>
    <row r="58" customFormat="false" ht="15" hidden="false" customHeight="false" outlineLevel="0" collapsed="false">
      <c r="A58" s="9" t="s">
        <v>181</v>
      </c>
      <c r="B58" s="9" t="s">
        <v>952</v>
      </c>
      <c r="C58" s="9" t="s">
        <v>962</v>
      </c>
      <c r="D58" s="9"/>
    </row>
    <row r="59" customFormat="false" ht="15" hidden="false" customHeight="false" outlineLevel="0" collapsed="false">
      <c r="A59" s="9" t="s">
        <v>181</v>
      </c>
      <c r="B59" s="9" t="s">
        <v>952</v>
      </c>
      <c r="C59" s="9" t="s">
        <v>965</v>
      </c>
      <c r="D59" s="9"/>
    </row>
    <row r="60" customFormat="false" ht="15" hidden="false" customHeight="false" outlineLevel="0" collapsed="false">
      <c r="A60" s="9" t="s">
        <v>181</v>
      </c>
      <c r="B60" s="9" t="s">
        <v>952</v>
      </c>
      <c r="C60" s="9" t="s">
        <v>964</v>
      </c>
      <c r="D60" s="9"/>
    </row>
    <row r="61" customFormat="false" ht="15" hidden="false" customHeight="false" outlineLevel="0" collapsed="false">
      <c r="A61" s="9" t="s">
        <v>181</v>
      </c>
      <c r="B61" s="9" t="s">
        <v>952</v>
      </c>
      <c r="C61" s="9" t="s">
        <v>953</v>
      </c>
      <c r="D61" s="9"/>
    </row>
    <row r="62" customFormat="false" ht="15" hidden="false" customHeight="false" outlineLevel="0" collapsed="false">
      <c r="A62" s="9" t="s">
        <v>181</v>
      </c>
      <c r="B62" s="9" t="s">
        <v>952</v>
      </c>
      <c r="C62" s="9" t="s">
        <v>961</v>
      </c>
      <c r="D62" s="9"/>
    </row>
    <row r="63" customFormat="false" ht="15" hidden="false" customHeight="false" outlineLevel="0" collapsed="false">
      <c r="A63" s="9" t="s">
        <v>181</v>
      </c>
      <c r="B63" s="9" t="s">
        <v>952</v>
      </c>
      <c r="C63" s="9" t="s">
        <v>961</v>
      </c>
      <c r="D63" s="9"/>
    </row>
    <row r="64" customFormat="false" ht="15" hidden="false" customHeight="false" outlineLevel="0" collapsed="false">
      <c r="A64" s="9" t="s">
        <v>181</v>
      </c>
      <c r="B64" s="9" t="s">
        <v>952</v>
      </c>
      <c r="C64" s="9" t="s">
        <v>961</v>
      </c>
      <c r="D64" s="9"/>
    </row>
    <row r="65" customFormat="false" ht="15" hidden="false" customHeight="false" outlineLevel="0" collapsed="false">
      <c r="A65" s="9" t="s">
        <v>181</v>
      </c>
      <c r="B65" s="9" t="s">
        <v>952</v>
      </c>
      <c r="C65" s="9" t="s">
        <v>965</v>
      </c>
      <c r="D65" s="9"/>
    </row>
    <row r="66" customFormat="false" ht="15" hidden="false" customHeight="false" outlineLevel="0" collapsed="false">
      <c r="A66" s="9" t="s">
        <v>181</v>
      </c>
      <c r="B66" s="9" t="s">
        <v>952</v>
      </c>
      <c r="C66" s="9" t="s">
        <v>953</v>
      </c>
      <c r="D66" s="9"/>
    </row>
    <row r="67" customFormat="false" ht="15" hidden="false" customHeight="false" outlineLevel="0" collapsed="false">
      <c r="A67" s="9" t="s">
        <v>223</v>
      </c>
      <c r="B67" s="9" t="s">
        <v>952</v>
      </c>
      <c r="C67" s="9" t="s">
        <v>960</v>
      </c>
      <c r="D67" s="9"/>
    </row>
    <row r="68" customFormat="false" ht="15" hidden="false" customHeight="false" outlineLevel="0" collapsed="false">
      <c r="A68" s="9" t="s">
        <v>223</v>
      </c>
      <c r="B68" s="9" t="s">
        <v>952</v>
      </c>
      <c r="C68" s="9" t="s">
        <v>964</v>
      </c>
      <c r="D68" s="9"/>
    </row>
    <row r="69" customFormat="false" ht="15" hidden="false" customHeight="false" outlineLevel="0" collapsed="false">
      <c r="A69" s="9" t="s">
        <v>223</v>
      </c>
      <c r="B69" s="9" t="s">
        <v>952</v>
      </c>
      <c r="C69" s="9" t="s">
        <v>964</v>
      </c>
      <c r="D69" s="9"/>
    </row>
    <row r="70" customFormat="false" ht="15" hidden="false" customHeight="false" outlineLevel="0" collapsed="false">
      <c r="A70" s="9" t="s">
        <v>223</v>
      </c>
      <c r="B70" s="9" t="s">
        <v>952</v>
      </c>
      <c r="C70" s="9" t="s">
        <v>964</v>
      </c>
      <c r="D70" s="9"/>
    </row>
    <row r="71" customFormat="false" ht="15" hidden="false" customHeight="false" outlineLevel="0" collapsed="false">
      <c r="A71" s="9" t="s">
        <v>223</v>
      </c>
      <c r="B71" s="9" t="s">
        <v>952</v>
      </c>
      <c r="C71" s="9" t="s">
        <v>953</v>
      </c>
      <c r="D71" s="9"/>
    </row>
    <row r="72" customFormat="false" ht="15" hidden="false" customHeight="false" outlineLevel="0" collapsed="false">
      <c r="A72" s="9" t="s">
        <v>225</v>
      </c>
      <c r="B72" s="9" t="s">
        <v>952</v>
      </c>
      <c r="C72" s="9" t="s">
        <v>966</v>
      </c>
      <c r="D72" s="9"/>
    </row>
    <row r="73" customFormat="false" ht="15" hidden="false" customHeight="false" outlineLevel="0" collapsed="false">
      <c r="A73" s="9" t="s">
        <v>225</v>
      </c>
      <c r="B73" s="9" t="s">
        <v>952</v>
      </c>
      <c r="C73" s="9" t="s">
        <v>967</v>
      </c>
      <c r="D73" s="9"/>
    </row>
    <row r="74" customFormat="false" ht="15" hidden="false" customHeight="false" outlineLevel="0" collapsed="false">
      <c r="A74" s="9" t="s">
        <v>225</v>
      </c>
      <c r="B74" s="9" t="s">
        <v>952</v>
      </c>
      <c r="C74" s="9" t="s">
        <v>960</v>
      </c>
      <c r="D74" s="9"/>
    </row>
    <row r="75" customFormat="false" ht="15" hidden="false" customHeight="false" outlineLevel="0" collapsed="false">
      <c r="A75" s="9" t="s">
        <v>225</v>
      </c>
      <c r="B75" s="9" t="s">
        <v>952</v>
      </c>
      <c r="C75" s="9" t="s">
        <v>964</v>
      </c>
      <c r="D75" s="9"/>
    </row>
    <row r="76" customFormat="false" ht="15" hidden="false" customHeight="false" outlineLevel="0" collapsed="false">
      <c r="A76" s="9" t="s">
        <v>205</v>
      </c>
      <c r="B76" s="9" t="s">
        <v>952</v>
      </c>
      <c r="C76" s="9" t="s">
        <v>962</v>
      </c>
      <c r="D76" s="9"/>
    </row>
    <row r="77" customFormat="false" ht="15" hidden="false" customHeight="false" outlineLevel="0" collapsed="false">
      <c r="A77" s="9" t="s">
        <v>205</v>
      </c>
      <c r="B77" s="9" t="s">
        <v>952</v>
      </c>
      <c r="C77" s="9" t="s">
        <v>960</v>
      </c>
      <c r="D77" s="9"/>
    </row>
    <row r="78" customFormat="false" ht="15" hidden="false" customHeight="false" outlineLevel="0" collapsed="false">
      <c r="A78" s="9" t="s">
        <v>205</v>
      </c>
      <c r="B78" s="9" t="s">
        <v>952</v>
      </c>
      <c r="C78" s="9" t="s">
        <v>962</v>
      </c>
      <c r="D78" s="9"/>
    </row>
    <row r="79" customFormat="false" ht="15" hidden="false" customHeight="false" outlineLevel="0" collapsed="false">
      <c r="A79" s="9" t="s">
        <v>205</v>
      </c>
      <c r="B79" s="9" t="s">
        <v>952</v>
      </c>
      <c r="C79" s="9" t="s">
        <v>962</v>
      </c>
      <c r="D79" s="9"/>
    </row>
    <row r="80" customFormat="false" ht="15" hidden="false" customHeight="false" outlineLevel="0" collapsed="false">
      <c r="A80" s="9" t="s">
        <v>166</v>
      </c>
      <c r="B80" s="9" t="s">
        <v>948</v>
      </c>
      <c r="C80" s="9" t="s">
        <v>949</v>
      </c>
      <c r="D80" s="9" t="s">
        <v>950</v>
      </c>
    </row>
    <row r="81" customFormat="false" ht="15" hidden="false" customHeight="false" outlineLevel="0" collapsed="false">
      <c r="A81" s="9" t="s">
        <v>172</v>
      </c>
      <c r="B81" s="9" t="s">
        <v>948</v>
      </c>
      <c r="C81" s="9" t="s">
        <v>949</v>
      </c>
      <c r="D81" s="9" t="s">
        <v>950</v>
      </c>
    </row>
    <row r="82" customFormat="false" ht="15" hidden="false" customHeight="false" outlineLevel="0" collapsed="false">
      <c r="A82" s="9" t="s">
        <v>159</v>
      </c>
      <c r="B82" s="9" t="s">
        <v>956</v>
      </c>
      <c r="C82" s="9" t="s">
        <v>518</v>
      </c>
      <c r="D82" s="9" t="s">
        <v>517</v>
      </c>
    </row>
    <row r="83" customFormat="false" ht="15" hidden="false" customHeight="false" outlineLevel="0" collapsed="false">
      <c r="A83" s="9" t="s">
        <v>159</v>
      </c>
      <c r="B83" s="9" t="s">
        <v>956</v>
      </c>
      <c r="C83" s="9" t="s">
        <v>518</v>
      </c>
      <c r="D83" s="9" t="s">
        <v>517</v>
      </c>
    </row>
    <row r="84" customFormat="false" ht="15" hidden="false" customHeight="false" outlineLevel="0" collapsed="false">
      <c r="A84" s="9" t="s">
        <v>159</v>
      </c>
      <c r="B84" s="9" t="s">
        <v>948</v>
      </c>
      <c r="C84" s="9" t="s">
        <v>949</v>
      </c>
      <c r="D84" s="9" t="s">
        <v>950</v>
      </c>
    </row>
    <row r="85" customFormat="false" ht="15" hidden="false" customHeight="false" outlineLevel="0" collapsed="false">
      <c r="A85" s="9" t="s">
        <v>180</v>
      </c>
      <c r="B85" s="9" t="s">
        <v>948</v>
      </c>
      <c r="C85" s="9" t="s">
        <v>968</v>
      </c>
      <c r="D85" s="9" t="s">
        <v>950</v>
      </c>
    </row>
    <row r="86" customFormat="false" ht="15" hidden="false" customHeight="false" outlineLevel="0" collapsed="false">
      <c r="A86" s="9" t="s">
        <v>180</v>
      </c>
      <c r="B86" s="9" t="s">
        <v>948</v>
      </c>
      <c r="C86" s="9" t="s">
        <v>969</v>
      </c>
      <c r="D86" s="9" t="s">
        <v>950</v>
      </c>
    </row>
    <row r="87" customFormat="false" ht="15" hidden="false" customHeight="false" outlineLevel="0" collapsed="false">
      <c r="A87" s="9" t="s">
        <v>165</v>
      </c>
      <c r="B87" s="9" t="s">
        <v>948</v>
      </c>
      <c r="C87" s="9" t="s">
        <v>949</v>
      </c>
      <c r="D87" s="9" t="s">
        <v>950</v>
      </c>
    </row>
    <row r="88" customFormat="false" ht="15" hidden="false" customHeight="false" outlineLevel="0" collapsed="false">
      <c r="A88" s="9" t="s">
        <v>236</v>
      </c>
      <c r="B88" s="9" t="s">
        <v>948</v>
      </c>
      <c r="C88" s="9" t="s">
        <v>970</v>
      </c>
      <c r="D88" s="9" t="s">
        <v>950</v>
      </c>
    </row>
    <row r="89" customFormat="false" ht="15" hidden="false" customHeight="false" outlineLevel="0" collapsed="false">
      <c r="A89" s="9" t="s">
        <v>203</v>
      </c>
      <c r="B89" s="9" t="s">
        <v>948</v>
      </c>
      <c r="C89" s="9" t="s">
        <v>949</v>
      </c>
      <c r="D89" s="9" t="s">
        <v>950</v>
      </c>
    </row>
    <row r="90" customFormat="false" ht="15" hidden="false" customHeight="false" outlineLevel="0" collapsed="false">
      <c r="A90" s="9" t="s">
        <v>162</v>
      </c>
      <c r="B90" s="9" t="s">
        <v>956</v>
      </c>
      <c r="C90" s="9" t="s">
        <v>518</v>
      </c>
      <c r="D90" s="9" t="s">
        <v>517</v>
      </c>
    </row>
    <row r="91" customFormat="false" ht="15" hidden="false" customHeight="false" outlineLevel="0" collapsed="false">
      <c r="A91" s="9" t="s">
        <v>162</v>
      </c>
      <c r="B91" s="9" t="s">
        <v>948</v>
      </c>
      <c r="C91" s="9" t="s">
        <v>949</v>
      </c>
      <c r="D91" s="9" t="s">
        <v>950</v>
      </c>
    </row>
    <row r="92" customFormat="false" ht="15" hidden="false" customHeight="false" outlineLevel="0" collapsed="false">
      <c r="A92" s="9" t="s">
        <v>197</v>
      </c>
      <c r="B92" s="9" t="s">
        <v>956</v>
      </c>
      <c r="C92" s="9" t="s">
        <v>474</v>
      </c>
      <c r="D92" s="9" t="s">
        <v>473</v>
      </c>
    </row>
    <row r="93" customFormat="false" ht="15" hidden="false" customHeight="false" outlineLevel="0" collapsed="false">
      <c r="A93" s="9" t="s">
        <v>197</v>
      </c>
      <c r="B93" s="9" t="s">
        <v>956</v>
      </c>
      <c r="C93" s="9" t="s">
        <v>474</v>
      </c>
      <c r="D93" s="9" t="s">
        <v>473</v>
      </c>
    </row>
    <row r="94" customFormat="false" ht="15" hidden="false" customHeight="false" outlineLevel="0" collapsed="false">
      <c r="A94" s="9" t="s">
        <v>197</v>
      </c>
      <c r="B94" s="9" t="s">
        <v>948</v>
      </c>
      <c r="C94" s="9" t="s">
        <v>971</v>
      </c>
      <c r="D94" s="9" t="s">
        <v>950</v>
      </c>
    </row>
    <row r="95" customFormat="false" ht="15" hidden="false" customHeight="false" outlineLevel="0" collapsed="false">
      <c r="A95" s="9" t="s">
        <v>197</v>
      </c>
      <c r="B95" s="9" t="s">
        <v>948</v>
      </c>
      <c r="C95" s="9" t="s">
        <v>972</v>
      </c>
      <c r="D95" s="9" t="s">
        <v>950</v>
      </c>
    </row>
    <row r="96" customFormat="false" ht="15" hidden="false" customHeight="false" outlineLevel="0" collapsed="false">
      <c r="A96" s="9" t="s">
        <v>168</v>
      </c>
      <c r="B96" s="9" t="s">
        <v>956</v>
      </c>
      <c r="C96" s="9" t="s">
        <v>510</v>
      </c>
      <c r="D96" s="9" t="s">
        <v>973</v>
      </c>
    </row>
    <row r="97" customFormat="false" ht="15" hidden="false" customHeight="false" outlineLevel="0" collapsed="false">
      <c r="A97" s="9" t="s">
        <v>168</v>
      </c>
      <c r="B97" s="9" t="s">
        <v>956</v>
      </c>
      <c r="C97" s="9" t="s">
        <v>504</v>
      </c>
      <c r="D97" s="9" t="s">
        <v>503</v>
      </c>
    </row>
    <row r="98" customFormat="false" ht="15" hidden="false" customHeight="false" outlineLevel="0" collapsed="false">
      <c r="A98" s="9" t="s">
        <v>168</v>
      </c>
      <c r="B98" s="9" t="s">
        <v>956</v>
      </c>
      <c r="C98" s="9" t="s">
        <v>506</v>
      </c>
      <c r="D98" s="9" t="s">
        <v>505</v>
      </c>
    </row>
    <row r="99" customFormat="false" ht="15" hidden="false" customHeight="false" outlineLevel="0" collapsed="false">
      <c r="A99" s="9" t="s">
        <v>168</v>
      </c>
      <c r="B99" s="9" t="s">
        <v>956</v>
      </c>
      <c r="C99" s="9" t="s">
        <v>458</v>
      </c>
      <c r="D99" s="9" t="s">
        <v>457</v>
      </c>
    </row>
    <row r="100" customFormat="false" ht="15" hidden="false" customHeight="false" outlineLevel="0" collapsed="false">
      <c r="A100" s="9" t="s">
        <v>168</v>
      </c>
      <c r="B100" s="9" t="s">
        <v>956</v>
      </c>
      <c r="C100" s="9" t="s">
        <v>974</v>
      </c>
      <c r="D100" s="9" t="s">
        <v>950</v>
      </c>
    </row>
    <row r="101" customFormat="false" ht="15" hidden="false" customHeight="false" outlineLevel="0" collapsed="false">
      <c r="A101" s="9" t="s">
        <v>168</v>
      </c>
      <c r="B101" s="9" t="s">
        <v>948</v>
      </c>
      <c r="C101" s="9" t="s">
        <v>975</v>
      </c>
      <c r="D101" s="9" t="s">
        <v>950</v>
      </c>
    </row>
    <row r="102" customFormat="false" ht="15" hidden="false" customHeight="false" outlineLevel="0" collapsed="false">
      <c r="A102" s="9" t="s">
        <v>168</v>
      </c>
      <c r="B102" s="9" t="s">
        <v>948</v>
      </c>
      <c r="C102" s="9" t="s">
        <v>975</v>
      </c>
      <c r="D102" s="9" t="s">
        <v>950</v>
      </c>
    </row>
    <row r="103" customFormat="false" ht="15" hidden="false" customHeight="false" outlineLevel="0" collapsed="false">
      <c r="A103" s="9" t="s">
        <v>170</v>
      </c>
      <c r="B103" s="9" t="s">
        <v>948</v>
      </c>
      <c r="C103" s="9" t="s">
        <v>949</v>
      </c>
      <c r="D103" s="9" t="s">
        <v>950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6"/>
    <col collapsed="false" customWidth="true" hidden="false" outlineLevel="0" max="3" min="3" style="0" width="14"/>
  </cols>
  <sheetData>
    <row r="1" customFormat="false" ht="15" hidden="false" customHeight="false" outlineLevel="0" collapsed="false">
      <c r="A1" s="2" t="s">
        <v>976</v>
      </c>
    </row>
    <row r="3" customFormat="false" ht="35.05" hidden="false" customHeight="false" outlineLevel="0" collapsed="false">
      <c r="A3" s="8" t="s">
        <v>149</v>
      </c>
      <c r="B3" s="8" t="s">
        <v>977</v>
      </c>
      <c r="C3" s="8" t="s">
        <v>978</v>
      </c>
    </row>
    <row r="4" customFormat="false" ht="15" hidden="false" customHeight="false" outlineLevel="0" collapsed="false">
      <c r="A4" s="9" t="s">
        <v>187</v>
      </c>
      <c r="B4" s="9" t="s">
        <v>979</v>
      </c>
      <c r="C4" s="9" t="n">
        <v>7</v>
      </c>
    </row>
    <row r="5" customFormat="false" ht="15" hidden="false" customHeight="false" outlineLevel="0" collapsed="false">
      <c r="A5" s="9" t="s">
        <v>166</v>
      </c>
      <c r="B5" s="9" t="s">
        <v>979</v>
      </c>
      <c r="C5" s="9" t="n">
        <v>7</v>
      </c>
    </row>
    <row r="6" customFormat="false" ht="15" hidden="false" customHeight="false" outlineLevel="0" collapsed="false">
      <c r="A6" s="9" t="s">
        <v>172</v>
      </c>
      <c r="B6" s="9" t="s">
        <v>979</v>
      </c>
      <c r="C6" s="9" t="n">
        <v>7</v>
      </c>
    </row>
    <row r="7" customFormat="false" ht="15" hidden="false" customHeight="false" outlineLevel="0" collapsed="false">
      <c r="A7" s="9" t="s">
        <v>159</v>
      </c>
      <c r="B7" s="9" t="s">
        <v>979</v>
      </c>
      <c r="C7" s="9" t="n">
        <v>7</v>
      </c>
    </row>
    <row r="8" customFormat="false" ht="15" hidden="false" customHeight="false" outlineLevel="0" collapsed="false">
      <c r="A8" s="9" t="s">
        <v>165</v>
      </c>
      <c r="B8" s="9" t="s">
        <v>979</v>
      </c>
      <c r="C8" s="9" t="n">
        <v>7</v>
      </c>
    </row>
    <row r="9" customFormat="false" ht="15" hidden="false" customHeight="false" outlineLevel="0" collapsed="false">
      <c r="A9" s="9" t="s">
        <v>162</v>
      </c>
      <c r="B9" s="9" t="s">
        <v>979</v>
      </c>
      <c r="C9" s="9" t="n">
        <v>7</v>
      </c>
    </row>
    <row r="10" customFormat="false" ht="15" hidden="false" customHeight="false" outlineLevel="0" collapsed="false">
      <c r="A10" s="9" t="s">
        <v>170</v>
      </c>
      <c r="B10" s="9" t="s">
        <v>979</v>
      </c>
      <c r="C10" s="9" t="n">
        <v>7</v>
      </c>
    </row>
    <row r="11" customFormat="false" ht="15" hidden="false" customHeight="false" outlineLevel="0" collapsed="false">
      <c r="A11" s="9" t="s">
        <v>174</v>
      </c>
      <c r="B11" s="9" t="s">
        <v>980</v>
      </c>
      <c r="C11" s="9" t="n">
        <v>1</v>
      </c>
    </row>
    <row r="12" customFormat="false" ht="15" hidden="false" customHeight="false" outlineLevel="0" collapsed="false">
      <c r="A12" s="9" t="s">
        <v>180</v>
      </c>
      <c r="B12" s="9" t="s">
        <v>981</v>
      </c>
      <c r="C12" s="9" t="n">
        <v>1</v>
      </c>
    </row>
    <row r="13" customFormat="false" ht="15" hidden="false" customHeight="false" outlineLevel="0" collapsed="false">
      <c r="A13" s="9" t="s">
        <v>166</v>
      </c>
      <c r="B13" s="9" t="s">
        <v>982</v>
      </c>
      <c r="C13" s="9" t="n">
        <v>2</v>
      </c>
    </row>
    <row r="14" customFormat="false" ht="15" hidden="false" customHeight="false" outlineLevel="0" collapsed="false">
      <c r="A14" s="9" t="s">
        <v>172</v>
      </c>
      <c r="B14" s="9" t="s">
        <v>982</v>
      </c>
      <c r="C14" s="9" t="n">
        <v>2</v>
      </c>
    </row>
    <row r="15" customFormat="false" ht="15" hidden="false" customHeight="false" outlineLevel="0" collapsed="false">
      <c r="A15" s="9" t="s">
        <v>172</v>
      </c>
      <c r="B15" s="9" t="s">
        <v>983</v>
      </c>
      <c r="C15" s="9" t="n">
        <v>5</v>
      </c>
    </row>
    <row r="16" customFormat="false" ht="15" hidden="false" customHeight="false" outlineLevel="0" collapsed="false">
      <c r="A16" s="9" t="s">
        <v>180</v>
      </c>
      <c r="B16" s="9" t="s">
        <v>983</v>
      </c>
      <c r="C16" s="9" t="n">
        <v>5</v>
      </c>
    </row>
    <row r="17" customFormat="false" ht="15" hidden="false" customHeight="false" outlineLevel="0" collapsed="false">
      <c r="A17" s="9" t="s">
        <v>165</v>
      </c>
      <c r="B17" s="9" t="s">
        <v>983</v>
      </c>
      <c r="C17" s="9" t="n">
        <v>5</v>
      </c>
    </row>
    <row r="18" customFormat="false" ht="15" hidden="false" customHeight="false" outlineLevel="0" collapsed="false">
      <c r="A18" s="9" t="s">
        <v>162</v>
      </c>
      <c r="B18" s="9" t="s">
        <v>983</v>
      </c>
      <c r="C18" s="9" t="n">
        <v>5</v>
      </c>
    </row>
    <row r="19" customFormat="false" ht="15" hidden="false" customHeight="false" outlineLevel="0" collapsed="false">
      <c r="A19" s="9" t="s">
        <v>170</v>
      </c>
      <c r="B19" s="9" t="s">
        <v>983</v>
      </c>
      <c r="C19" s="9" t="n">
        <v>5</v>
      </c>
    </row>
    <row r="20" customFormat="false" ht="15" hidden="false" customHeight="false" outlineLevel="0" collapsed="false">
      <c r="A20" s="9" t="s">
        <v>180</v>
      </c>
      <c r="B20" s="9" t="s">
        <v>984</v>
      </c>
      <c r="C20" s="9" t="n">
        <v>1</v>
      </c>
    </row>
    <row r="21" customFormat="false" ht="15" hidden="false" customHeight="false" outlineLevel="0" collapsed="false">
      <c r="A21" s="9" t="s">
        <v>166</v>
      </c>
      <c r="B21" s="9" t="s">
        <v>985</v>
      </c>
      <c r="C21" s="9" t="n">
        <v>6</v>
      </c>
    </row>
    <row r="22" customFormat="false" ht="15" hidden="false" customHeight="false" outlineLevel="0" collapsed="false">
      <c r="A22" s="9" t="s">
        <v>172</v>
      </c>
      <c r="B22" s="9" t="s">
        <v>985</v>
      </c>
      <c r="C22" s="9" t="n">
        <v>6</v>
      </c>
    </row>
    <row r="23" customFormat="false" ht="15" hidden="false" customHeight="false" outlineLevel="0" collapsed="false">
      <c r="A23" s="9" t="s">
        <v>159</v>
      </c>
      <c r="B23" s="9" t="s">
        <v>985</v>
      </c>
      <c r="C23" s="9" t="n">
        <v>6</v>
      </c>
    </row>
    <row r="24" customFormat="false" ht="15" hidden="false" customHeight="false" outlineLevel="0" collapsed="false">
      <c r="A24" s="9" t="s">
        <v>165</v>
      </c>
      <c r="B24" s="9" t="s">
        <v>985</v>
      </c>
      <c r="C24" s="9" t="n">
        <v>6</v>
      </c>
    </row>
    <row r="25" customFormat="false" ht="15" hidden="false" customHeight="false" outlineLevel="0" collapsed="false">
      <c r="A25" s="9" t="s">
        <v>162</v>
      </c>
      <c r="B25" s="9" t="s">
        <v>985</v>
      </c>
      <c r="C25" s="9" t="n">
        <v>6</v>
      </c>
    </row>
    <row r="26" customFormat="false" ht="15" hidden="false" customHeight="false" outlineLevel="0" collapsed="false">
      <c r="A26" s="9" t="s">
        <v>170</v>
      </c>
      <c r="B26" s="9" t="s">
        <v>985</v>
      </c>
      <c r="C26" s="9" t="n">
        <v>6</v>
      </c>
    </row>
    <row r="27" customFormat="false" ht="15" hidden="false" customHeight="false" outlineLevel="0" collapsed="false">
      <c r="A27" s="9" t="s">
        <v>175</v>
      </c>
      <c r="B27" s="9" t="s">
        <v>986</v>
      </c>
      <c r="C27" s="9" t="n">
        <v>1</v>
      </c>
    </row>
    <row r="28" customFormat="false" ht="15" hidden="false" customHeight="false" outlineLevel="0" collapsed="false">
      <c r="A28" s="9" t="s">
        <v>190</v>
      </c>
      <c r="B28" s="9" t="s">
        <v>987</v>
      </c>
      <c r="C28" s="9" t="n">
        <v>10</v>
      </c>
    </row>
    <row r="29" customFormat="false" ht="15" hidden="false" customHeight="false" outlineLevel="0" collapsed="false">
      <c r="A29" s="9" t="s">
        <v>178</v>
      </c>
      <c r="B29" s="9" t="s">
        <v>987</v>
      </c>
      <c r="C29" s="9" t="n">
        <v>10</v>
      </c>
    </row>
    <row r="30" customFormat="false" ht="15" hidden="false" customHeight="false" outlineLevel="0" collapsed="false">
      <c r="A30" s="9" t="s">
        <v>171</v>
      </c>
      <c r="B30" s="9" t="s">
        <v>987</v>
      </c>
      <c r="C30" s="9" t="n">
        <v>10</v>
      </c>
    </row>
    <row r="31" customFormat="false" ht="15" hidden="false" customHeight="false" outlineLevel="0" collapsed="false">
      <c r="A31" s="9" t="s">
        <v>192</v>
      </c>
      <c r="B31" s="9" t="s">
        <v>987</v>
      </c>
      <c r="C31" s="9" t="n">
        <v>10</v>
      </c>
    </row>
    <row r="32" customFormat="false" ht="15" hidden="false" customHeight="false" outlineLevel="0" collapsed="false">
      <c r="A32" s="9" t="s">
        <v>166</v>
      </c>
      <c r="B32" s="9" t="s">
        <v>987</v>
      </c>
      <c r="C32" s="9" t="n">
        <v>10</v>
      </c>
    </row>
    <row r="33" customFormat="false" ht="15" hidden="false" customHeight="false" outlineLevel="0" collapsed="false">
      <c r="A33" s="9" t="s">
        <v>172</v>
      </c>
      <c r="B33" s="9" t="s">
        <v>987</v>
      </c>
      <c r="C33" s="9" t="n">
        <v>10</v>
      </c>
    </row>
    <row r="34" customFormat="false" ht="15" hidden="false" customHeight="false" outlineLevel="0" collapsed="false">
      <c r="A34" s="9" t="s">
        <v>159</v>
      </c>
      <c r="B34" s="9" t="s">
        <v>987</v>
      </c>
      <c r="C34" s="9" t="n">
        <v>10</v>
      </c>
    </row>
    <row r="35" customFormat="false" ht="15" hidden="false" customHeight="false" outlineLevel="0" collapsed="false">
      <c r="A35" s="9" t="s">
        <v>165</v>
      </c>
      <c r="B35" s="9" t="s">
        <v>987</v>
      </c>
      <c r="C35" s="9" t="n">
        <v>10</v>
      </c>
    </row>
    <row r="36" customFormat="false" ht="15" hidden="false" customHeight="false" outlineLevel="0" collapsed="false">
      <c r="A36" s="9" t="s">
        <v>162</v>
      </c>
      <c r="B36" s="9" t="s">
        <v>987</v>
      </c>
      <c r="C36" s="9" t="n">
        <v>10</v>
      </c>
    </row>
    <row r="37" customFormat="false" ht="15" hidden="false" customHeight="false" outlineLevel="0" collapsed="false">
      <c r="A37" s="9" t="s">
        <v>170</v>
      </c>
      <c r="B37" s="9" t="s">
        <v>987</v>
      </c>
      <c r="C37" s="9" t="n">
        <v>10</v>
      </c>
    </row>
    <row r="38" customFormat="false" ht="15" hidden="false" customHeight="false" outlineLevel="0" collapsed="false">
      <c r="A38" s="9" t="s">
        <v>180</v>
      </c>
      <c r="B38" s="9" t="s">
        <v>988</v>
      </c>
      <c r="C38" s="9" t="n">
        <v>3</v>
      </c>
    </row>
    <row r="39" customFormat="false" ht="15" hidden="false" customHeight="false" outlineLevel="0" collapsed="false">
      <c r="A39" s="9" t="s">
        <v>165</v>
      </c>
      <c r="B39" s="9" t="s">
        <v>988</v>
      </c>
      <c r="C39" s="9" t="n">
        <v>3</v>
      </c>
    </row>
    <row r="40" customFormat="false" ht="15" hidden="false" customHeight="false" outlineLevel="0" collapsed="false">
      <c r="A40" s="9" t="s">
        <v>170</v>
      </c>
      <c r="B40" s="9" t="s">
        <v>988</v>
      </c>
      <c r="C40" s="9" t="n">
        <v>3</v>
      </c>
    </row>
    <row r="41" customFormat="false" ht="15" hidden="false" customHeight="false" outlineLevel="0" collapsed="false">
      <c r="A41" s="9" t="s">
        <v>216</v>
      </c>
      <c r="B41" s="9" t="s">
        <v>989</v>
      </c>
      <c r="C41" s="9" t="n">
        <v>1</v>
      </c>
    </row>
    <row r="42" customFormat="false" ht="15" hidden="false" customHeight="false" outlineLevel="0" collapsed="false">
      <c r="A42" s="9" t="s">
        <v>180</v>
      </c>
      <c r="B42" s="9" t="s">
        <v>990</v>
      </c>
      <c r="C42" s="9" t="n">
        <v>1</v>
      </c>
    </row>
    <row r="43" customFormat="false" ht="15" hidden="false" customHeight="false" outlineLevel="0" collapsed="false">
      <c r="A43" s="9" t="s">
        <v>166</v>
      </c>
      <c r="B43" s="9" t="s">
        <v>991</v>
      </c>
      <c r="C43" s="9" t="n">
        <v>4</v>
      </c>
    </row>
    <row r="44" customFormat="false" ht="15" hidden="false" customHeight="false" outlineLevel="0" collapsed="false">
      <c r="A44" s="9" t="s">
        <v>172</v>
      </c>
      <c r="B44" s="9" t="s">
        <v>991</v>
      </c>
      <c r="C44" s="9" t="n">
        <v>4</v>
      </c>
    </row>
    <row r="45" customFormat="false" ht="15" hidden="false" customHeight="false" outlineLevel="0" collapsed="false">
      <c r="A45" s="9" t="s">
        <v>180</v>
      </c>
      <c r="B45" s="9" t="s">
        <v>991</v>
      </c>
      <c r="C45" s="9" t="n">
        <v>4</v>
      </c>
    </row>
    <row r="46" customFormat="false" ht="15" hidden="false" customHeight="false" outlineLevel="0" collapsed="false">
      <c r="A46" s="9" t="s">
        <v>170</v>
      </c>
      <c r="B46" s="9" t="s">
        <v>991</v>
      </c>
      <c r="C46" s="9" t="n">
        <v>4</v>
      </c>
    </row>
    <row r="47" customFormat="false" ht="15" hidden="false" customHeight="false" outlineLevel="0" collapsed="false">
      <c r="A47" s="9" t="s">
        <v>166</v>
      </c>
      <c r="B47" s="9" t="s">
        <v>992</v>
      </c>
      <c r="C47" s="9" t="n">
        <v>2</v>
      </c>
    </row>
    <row r="48" customFormat="false" ht="15" hidden="false" customHeight="false" outlineLevel="0" collapsed="false">
      <c r="A48" s="9" t="s">
        <v>162</v>
      </c>
      <c r="B48" s="9" t="s">
        <v>992</v>
      </c>
      <c r="C48" s="9" t="n">
        <v>2</v>
      </c>
    </row>
    <row r="49" customFormat="false" ht="15" hidden="false" customHeight="false" outlineLevel="0" collapsed="false">
      <c r="A49" s="9" t="s">
        <v>197</v>
      </c>
      <c r="B49" s="9" t="s">
        <v>993</v>
      </c>
      <c r="C49" s="9" t="n">
        <v>1</v>
      </c>
    </row>
    <row r="50" customFormat="false" ht="15" hidden="false" customHeight="false" outlineLevel="0" collapsed="false">
      <c r="A50" s="9" t="s">
        <v>187</v>
      </c>
      <c r="B50" s="9" t="s">
        <v>994</v>
      </c>
      <c r="C50" s="9" t="n">
        <v>1</v>
      </c>
    </row>
    <row r="51" customFormat="false" ht="15" hidden="false" customHeight="false" outlineLevel="0" collapsed="false">
      <c r="A51" s="9" t="s">
        <v>187</v>
      </c>
      <c r="B51" s="9" t="s">
        <v>995</v>
      </c>
      <c r="C51" s="9" t="n">
        <v>7</v>
      </c>
    </row>
    <row r="52" customFormat="false" ht="15" hidden="false" customHeight="false" outlineLevel="0" collapsed="false">
      <c r="A52" s="9" t="s">
        <v>166</v>
      </c>
      <c r="B52" s="9" t="s">
        <v>995</v>
      </c>
      <c r="C52" s="9" t="n">
        <v>7</v>
      </c>
    </row>
    <row r="53" customFormat="false" ht="15" hidden="false" customHeight="false" outlineLevel="0" collapsed="false">
      <c r="A53" s="9" t="s">
        <v>172</v>
      </c>
      <c r="B53" s="9" t="s">
        <v>995</v>
      </c>
      <c r="C53" s="9" t="n">
        <v>7</v>
      </c>
    </row>
    <row r="54" customFormat="false" ht="15" hidden="false" customHeight="false" outlineLevel="0" collapsed="false">
      <c r="A54" s="9" t="s">
        <v>159</v>
      </c>
      <c r="B54" s="9" t="s">
        <v>995</v>
      </c>
      <c r="C54" s="9" t="n">
        <v>7</v>
      </c>
    </row>
    <row r="55" customFormat="false" ht="15" hidden="false" customHeight="false" outlineLevel="0" collapsed="false">
      <c r="A55" s="9" t="s">
        <v>165</v>
      </c>
      <c r="B55" s="9" t="s">
        <v>995</v>
      </c>
      <c r="C55" s="9" t="n">
        <v>7</v>
      </c>
    </row>
    <row r="56" customFormat="false" ht="15" hidden="false" customHeight="false" outlineLevel="0" collapsed="false">
      <c r="A56" s="9" t="s">
        <v>162</v>
      </c>
      <c r="B56" s="9" t="s">
        <v>995</v>
      </c>
      <c r="C56" s="9" t="n">
        <v>7</v>
      </c>
    </row>
    <row r="57" customFormat="false" ht="15" hidden="false" customHeight="false" outlineLevel="0" collapsed="false">
      <c r="A57" s="9" t="s">
        <v>170</v>
      </c>
      <c r="B57" s="9" t="s">
        <v>995</v>
      </c>
      <c r="C57" s="9" t="n">
        <v>7</v>
      </c>
    </row>
    <row r="58" customFormat="false" ht="15" hidden="false" customHeight="false" outlineLevel="0" collapsed="false">
      <c r="A58" s="9" t="s">
        <v>159</v>
      </c>
      <c r="B58" s="9" t="s">
        <v>996</v>
      </c>
      <c r="C58" s="9" t="n">
        <v>2</v>
      </c>
    </row>
    <row r="59" customFormat="false" ht="15" hidden="false" customHeight="false" outlineLevel="0" collapsed="false">
      <c r="A59" s="9" t="s">
        <v>162</v>
      </c>
      <c r="B59" s="9" t="s">
        <v>996</v>
      </c>
      <c r="C59" s="9" t="n">
        <v>2</v>
      </c>
    </row>
    <row r="60" customFormat="false" ht="15" hidden="false" customHeight="false" outlineLevel="0" collapsed="false">
      <c r="A60" s="9" t="s">
        <v>180</v>
      </c>
      <c r="B60" s="9" t="s">
        <v>997</v>
      </c>
      <c r="C60" s="9" t="n">
        <v>1</v>
      </c>
    </row>
    <row r="61" customFormat="false" ht="15" hidden="false" customHeight="false" outlineLevel="0" collapsed="false">
      <c r="A61" s="9" t="s">
        <v>172</v>
      </c>
      <c r="B61" s="9" t="s">
        <v>998</v>
      </c>
      <c r="C61" s="9" t="n">
        <v>2</v>
      </c>
    </row>
    <row r="62" customFormat="false" ht="15" hidden="false" customHeight="false" outlineLevel="0" collapsed="false">
      <c r="A62" s="9" t="s">
        <v>170</v>
      </c>
      <c r="B62" s="9" t="s">
        <v>998</v>
      </c>
      <c r="C62" s="9" t="n">
        <v>2</v>
      </c>
    </row>
    <row r="63" customFormat="false" ht="15" hidden="false" customHeight="false" outlineLevel="0" collapsed="false">
      <c r="A63" s="9" t="s">
        <v>165</v>
      </c>
      <c r="B63" s="9" t="s">
        <v>999</v>
      </c>
      <c r="C63" s="9" t="n">
        <v>1</v>
      </c>
    </row>
    <row r="64" customFormat="false" ht="15" hidden="false" customHeight="false" outlineLevel="0" collapsed="false">
      <c r="A64" s="9" t="s">
        <v>197</v>
      </c>
      <c r="B64" s="9" t="s">
        <v>1000</v>
      </c>
      <c r="C64" s="9" t="n">
        <v>1</v>
      </c>
    </row>
    <row r="65" customFormat="false" ht="15" hidden="false" customHeight="false" outlineLevel="0" collapsed="false">
      <c r="A65" s="9" t="s">
        <v>187</v>
      </c>
      <c r="B65" s="9" t="s">
        <v>1001</v>
      </c>
      <c r="C65" s="9" t="n">
        <v>1</v>
      </c>
    </row>
    <row r="66" customFormat="false" ht="15" hidden="false" customHeight="false" outlineLevel="0" collapsed="false">
      <c r="A66" s="9" t="s">
        <v>187</v>
      </c>
      <c r="B66" s="9" t="s">
        <v>1002</v>
      </c>
      <c r="C66" s="9" t="n">
        <v>6</v>
      </c>
    </row>
    <row r="67" customFormat="false" ht="15" hidden="false" customHeight="false" outlineLevel="0" collapsed="false">
      <c r="A67" s="9" t="s">
        <v>166</v>
      </c>
      <c r="B67" s="9" t="s">
        <v>1002</v>
      </c>
      <c r="C67" s="9" t="n">
        <v>6</v>
      </c>
    </row>
    <row r="68" customFormat="false" ht="15" hidden="false" customHeight="false" outlineLevel="0" collapsed="false">
      <c r="A68" s="9" t="s">
        <v>172</v>
      </c>
      <c r="B68" s="9" t="s">
        <v>1002</v>
      </c>
      <c r="C68" s="9" t="n">
        <v>6</v>
      </c>
    </row>
    <row r="69" customFormat="false" ht="15" hidden="false" customHeight="false" outlineLevel="0" collapsed="false">
      <c r="A69" s="9" t="s">
        <v>165</v>
      </c>
      <c r="B69" s="9" t="s">
        <v>1002</v>
      </c>
      <c r="C69" s="9" t="n">
        <v>6</v>
      </c>
    </row>
    <row r="70" customFormat="false" ht="15" hidden="false" customHeight="false" outlineLevel="0" collapsed="false">
      <c r="A70" s="9" t="s">
        <v>162</v>
      </c>
      <c r="B70" s="9" t="s">
        <v>1002</v>
      </c>
      <c r="C70" s="9" t="n">
        <v>6</v>
      </c>
    </row>
    <row r="71" customFormat="false" ht="15" hidden="false" customHeight="false" outlineLevel="0" collapsed="false">
      <c r="A71" s="9" t="s">
        <v>170</v>
      </c>
      <c r="B71" s="9" t="s">
        <v>1002</v>
      </c>
      <c r="C71" s="9" t="n">
        <v>6</v>
      </c>
    </row>
    <row r="72" customFormat="false" ht="15" hidden="false" customHeight="false" outlineLevel="0" collapsed="false">
      <c r="A72" s="9" t="s">
        <v>163</v>
      </c>
      <c r="B72" s="9" t="s">
        <v>1003</v>
      </c>
      <c r="C72" s="9" t="n">
        <v>1</v>
      </c>
    </row>
    <row r="73" customFormat="false" ht="15" hidden="false" customHeight="false" outlineLevel="0" collapsed="false">
      <c r="A73" s="9" t="s">
        <v>163</v>
      </c>
      <c r="B73" s="9" t="s">
        <v>1004</v>
      </c>
      <c r="C73" s="9" t="n">
        <v>1</v>
      </c>
    </row>
    <row r="74" customFormat="false" ht="15" hidden="false" customHeight="false" outlineLevel="0" collapsed="false">
      <c r="A74" s="9" t="s">
        <v>180</v>
      </c>
      <c r="B74" s="9" t="s">
        <v>1005</v>
      </c>
      <c r="C74" s="9" t="n">
        <v>1</v>
      </c>
    </row>
    <row r="75" customFormat="false" ht="15" hidden="false" customHeight="false" outlineLevel="0" collapsed="false">
      <c r="A75" s="9" t="s">
        <v>168</v>
      </c>
      <c r="B75" s="9" t="s">
        <v>1006</v>
      </c>
      <c r="C75" s="9" t="n">
        <v>1</v>
      </c>
    </row>
    <row r="76" customFormat="false" ht="15" hidden="false" customHeight="false" outlineLevel="0" collapsed="false">
      <c r="A76" s="9" t="s">
        <v>159</v>
      </c>
      <c r="B76" s="9" t="s">
        <v>1007</v>
      </c>
      <c r="C76" s="9" t="n">
        <v>1</v>
      </c>
    </row>
    <row r="77" customFormat="false" ht="15" hidden="false" customHeight="false" outlineLevel="0" collapsed="false">
      <c r="A77" s="9" t="s">
        <v>189</v>
      </c>
      <c r="B77" s="9" t="s">
        <v>1008</v>
      </c>
      <c r="C77" s="9" t="n">
        <v>1</v>
      </c>
    </row>
    <row r="78" customFormat="false" ht="15" hidden="false" customHeight="false" outlineLevel="0" collapsed="false">
      <c r="A78" s="9" t="s">
        <v>183</v>
      </c>
      <c r="B78" s="9" t="s">
        <v>1009</v>
      </c>
      <c r="C78" s="9" t="n">
        <v>1</v>
      </c>
    </row>
    <row r="79" customFormat="false" ht="15" hidden="false" customHeight="false" outlineLevel="0" collapsed="false">
      <c r="A79" s="9" t="s">
        <v>159</v>
      </c>
      <c r="B79" s="9" t="s">
        <v>1010</v>
      </c>
      <c r="C79" s="9"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30"/>
    <col collapsed="false" customWidth="true" hidden="false" outlineLevel="0" max="4" min="4" style="0" width="44"/>
    <col collapsed="false" customWidth="true" hidden="false" outlineLevel="0" max="5" min="5" style="0" width="30"/>
  </cols>
  <sheetData>
    <row r="1" customFormat="false" ht="15" hidden="false" customHeight="false" outlineLevel="0" collapsed="false">
      <c r="A1" s="8" t="s">
        <v>1011</v>
      </c>
      <c r="B1" s="8" t="s">
        <v>1012</v>
      </c>
      <c r="C1" s="8" t="s">
        <v>1013</v>
      </c>
      <c r="D1" s="8" t="s">
        <v>1014</v>
      </c>
      <c r="E1" s="8" t="s">
        <v>1015</v>
      </c>
    </row>
    <row r="2" customFormat="false" ht="23.85" hidden="false" customHeight="false" outlineLevel="0" collapsed="false">
      <c r="A2" s="9" t="s">
        <v>1016</v>
      </c>
      <c r="B2" s="9" t="s">
        <v>1017</v>
      </c>
      <c r="C2" s="9" t="s">
        <v>1018</v>
      </c>
      <c r="D2" s="9" t="s">
        <v>1018</v>
      </c>
      <c r="E2" s="9" t="s">
        <v>1019</v>
      </c>
    </row>
    <row r="3" customFormat="false" ht="15" hidden="false" customHeight="false" outlineLevel="0" collapsed="false">
      <c r="A3" s="9" t="s">
        <v>1016</v>
      </c>
      <c r="B3" s="9" t="s">
        <v>1020</v>
      </c>
      <c r="C3" s="9" t="s">
        <v>1021</v>
      </c>
      <c r="D3" s="9" t="s">
        <v>1021</v>
      </c>
      <c r="E3" s="9" t="s">
        <v>1022</v>
      </c>
    </row>
    <row r="4" customFormat="false" ht="15" hidden="false" customHeight="false" outlineLevel="0" collapsed="false">
      <c r="A4" s="9" t="s">
        <v>1016</v>
      </c>
      <c r="B4" s="9" t="s">
        <v>1023</v>
      </c>
      <c r="C4" s="9" t="s">
        <v>1024</v>
      </c>
      <c r="D4" s="9" t="s">
        <v>1025</v>
      </c>
      <c r="E4" s="9" t="s">
        <v>1026</v>
      </c>
    </row>
    <row r="5" customFormat="false" ht="15" hidden="false" customHeight="false" outlineLevel="0" collapsed="false">
      <c r="A5" s="9" t="s">
        <v>1016</v>
      </c>
      <c r="B5" s="9" t="s">
        <v>1027</v>
      </c>
      <c r="C5" s="9" t="s">
        <v>1028</v>
      </c>
      <c r="D5" s="9" t="s">
        <v>1028</v>
      </c>
      <c r="E5" s="9" t="s">
        <v>1029</v>
      </c>
    </row>
    <row r="6" customFormat="false" ht="15" hidden="false" customHeight="false" outlineLevel="0" collapsed="false">
      <c r="A6" s="9" t="s">
        <v>1030</v>
      </c>
      <c r="B6" s="9" t="s">
        <v>1017</v>
      </c>
      <c r="C6" s="9" t="s">
        <v>1031</v>
      </c>
      <c r="D6" s="9" t="s">
        <v>1032</v>
      </c>
      <c r="E6" s="9" t="s">
        <v>1033</v>
      </c>
    </row>
    <row r="7" customFormat="false" ht="15" hidden="false" customHeight="false" outlineLevel="0" collapsed="false">
      <c r="A7" s="9" t="s">
        <v>1030</v>
      </c>
      <c r="B7" s="9" t="s">
        <v>1020</v>
      </c>
      <c r="C7" s="9" t="s">
        <v>1034</v>
      </c>
      <c r="D7" s="9" t="s">
        <v>1035</v>
      </c>
      <c r="E7" s="9"/>
    </row>
    <row r="8" customFormat="false" ht="15" hidden="false" customHeight="false" outlineLevel="0" collapsed="false">
      <c r="A8" s="9" t="s">
        <v>1030</v>
      </c>
      <c r="B8" s="9" t="s">
        <v>1036</v>
      </c>
      <c r="C8" s="9" t="s">
        <v>1037</v>
      </c>
      <c r="D8" s="9" t="s">
        <v>1038</v>
      </c>
      <c r="E8" s="9" t="s">
        <v>1039</v>
      </c>
    </row>
    <row r="9" customFormat="false" ht="15" hidden="false" customHeight="false" outlineLevel="0" collapsed="false">
      <c r="A9" s="9" t="s">
        <v>1040</v>
      </c>
      <c r="B9" s="9" t="s">
        <v>1041</v>
      </c>
      <c r="C9" s="9" t="s">
        <v>1042</v>
      </c>
      <c r="D9" s="9" t="s">
        <v>1043</v>
      </c>
      <c r="E9" s="9"/>
    </row>
    <row r="10" customFormat="false" ht="15" hidden="false" customHeight="false" outlineLevel="0" collapsed="false">
      <c r="A10" s="9" t="s">
        <v>1040</v>
      </c>
      <c r="B10" s="9" t="s">
        <v>1044</v>
      </c>
      <c r="C10" s="9" t="s">
        <v>1045</v>
      </c>
      <c r="D10" s="9" t="s">
        <v>1046</v>
      </c>
      <c r="E10" s="9"/>
    </row>
    <row r="11" customFormat="false" ht="15" hidden="false" customHeight="false" outlineLevel="0" collapsed="false">
      <c r="A11" s="9" t="s">
        <v>1040</v>
      </c>
      <c r="B11" s="9" t="s">
        <v>1047</v>
      </c>
      <c r="C11" s="9" t="s">
        <v>1048</v>
      </c>
      <c r="D11" s="9" t="s">
        <v>1049</v>
      </c>
      <c r="E11" s="9"/>
    </row>
    <row r="12" customFormat="false" ht="15" hidden="false" customHeight="false" outlineLevel="0" collapsed="false">
      <c r="A12" s="9" t="s">
        <v>1040</v>
      </c>
      <c r="B12" s="9" t="s">
        <v>1050</v>
      </c>
      <c r="C12" s="9" t="s">
        <v>1051</v>
      </c>
      <c r="D12" s="9" t="s">
        <v>1052</v>
      </c>
      <c r="E12" s="9"/>
    </row>
    <row r="13" customFormat="false" ht="15" hidden="false" customHeight="false" outlineLevel="0" collapsed="false">
      <c r="A13" s="9" t="s">
        <v>1040</v>
      </c>
      <c r="B13" s="9" t="s">
        <v>1053</v>
      </c>
      <c r="C13" s="9" t="s">
        <v>1054</v>
      </c>
      <c r="D13" s="9" t="s">
        <v>1055</v>
      </c>
      <c r="E13" s="9" t="s">
        <v>1056</v>
      </c>
    </row>
    <row r="14" customFormat="false" ht="15" hidden="false" customHeight="false" outlineLevel="0" collapsed="false">
      <c r="A14" s="9" t="s">
        <v>1040</v>
      </c>
      <c r="B14" s="9" t="s">
        <v>1057</v>
      </c>
      <c r="C14" s="9" t="s">
        <v>1058</v>
      </c>
      <c r="D14" s="9" t="s">
        <v>1059</v>
      </c>
      <c r="E14" s="9"/>
    </row>
    <row r="15" customFormat="false" ht="15" hidden="false" customHeight="false" outlineLevel="0" collapsed="false">
      <c r="A15" s="9" t="s">
        <v>1040</v>
      </c>
      <c r="B15" s="9" t="s">
        <v>1060</v>
      </c>
      <c r="C15" s="9" t="s">
        <v>1061</v>
      </c>
      <c r="D15" s="9" t="s">
        <v>1062</v>
      </c>
      <c r="E15" s="9" t="s">
        <v>1063</v>
      </c>
    </row>
    <row r="16" customFormat="false" ht="15" hidden="false" customHeight="false" outlineLevel="0" collapsed="false">
      <c r="A16" s="9" t="s">
        <v>1064</v>
      </c>
      <c r="B16" s="9" t="s">
        <v>1065</v>
      </c>
      <c r="C16" s="9" t="s">
        <v>1066</v>
      </c>
      <c r="D16" s="9" t="s">
        <v>1067</v>
      </c>
      <c r="E16" s="9"/>
    </row>
    <row r="17" customFormat="false" ht="15" hidden="false" customHeight="false" outlineLevel="0" collapsed="false">
      <c r="A17" s="9" t="s">
        <v>1064</v>
      </c>
      <c r="B17" s="9" t="s">
        <v>1068</v>
      </c>
      <c r="C17" s="9" t="s">
        <v>1066</v>
      </c>
      <c r="D17" s="9" t="s">
        <v>1069</v>
      </c>
      <c r="E17" s="9"/>
    </row>
    <row r="18" customFormat="false" ht="15" hidden="false" customHeight="false" outlineLevel="0" collapsed="false">
      <c r="A18" s="9" t="s">
        <v>1064</v>
      </c>
      <c r="B18" s="9" t="s">
        <v>1070</v>
      </c>
      <c r="C18" s="9" t="s">
        <v>1066</v>
      </c>
      <c r="D18" s="9" t="s">
        <v>1071</v>
      </c>
      <c r="E18" s="9"/>
    </row>
    <row r="19" customFormat="false" ht="15" hidden="false" customHeight="false" outlineLevel="0" collapsed="false">
      <c r="A19" s="9" t="s">
        <v>1072</v>
      </c>
      <c r="B19" s="9" t="s">
        <v>1073</v>
      </c>
      <c r="C19" s="9" t="s">
        <v>1074</v>
      </c>
      <c r="D19" s="9" t="s">
        <v>1075</v>
      </c>
      <c r="E19" s="9"/>
    </row>
    <row r="20" customFormat="false" ht="23.85" hidden="false" customHeight="false" outlineLevel="0" collapsed="false">
      <c r="A20" s="9" t="s">
        <v>1076</v>
      </c>
      <c r="B20" s="9" t="s">
        <v>1077</v>
      </c>
      <c r="C20" s="9" t="s">
        <v>1078</v>
      </c>
      <c r="D20" s="9" t="s">
        <v>1079</v>
      </c>
      <c r="E20" s="9" t="s">
        <v>1080</v>
      </c>
    </row>
    <row r="21" customFormat="false" ht="15" hidden="false" customHeight="false" outlineLevel="0" collapsed="false">
      <c r="A21" s="9" t="s">
        <v>1081</v>
      </c>
      <c r="B21" s="9" t="s">
        <v>1082</v>
      </c>
      <c r="C21" s="9" t="s">
        <v>1083</v>
      </c>
      <c r="D21" s="9" t="s">
        <v>1084</v>
      </c>
      <c r="E21" s="9"/>
    </row>
    <row r="22" customFormat="false" ht="15" hidden="false" customHeight="false" outlineLevel="0" collapsed="false">
      <c r="A22" s="9" t="s">
        <v>1081</v>
      </c>
      <c r="B22" s="9" t="s">
        <v>1085</v>
      </c>
      <c r="C22" s="9" t="s">
        <v>1083</v>
      </c>
      <c r="D22" s="9" t="s">
        <v>1086</v>
      </c>
      <c r="E22" s="9"/>
    </row>
    <row r="23" customFormat="false" ht="15" hidden="false" customHeight="false" outlineLevel="0" collapsed="false">
      <c r="A23" s="9" t="s">
        <v>1081</v>
      </c>
      <c r="B23" s="9" t="s">
        <v>1087</v>
      </c>
      <c r="C23" s="9" t="s">
        <v>1083</v>
      </c>
      <c r="D23" s="9" t="s">
        <v>1062</v>
      </c>
      <c r="E23" s="9"/>
    </row>
    <row r="24" customFormat="false" ht="15" hidden="false" customHeight="false" outlineLevel="0" collapsed="false">
      <c r="A24" s="9" t="s">
        <v>1081</v>
      </c>
      <c r="B24" s="9" t="s">
        <v>1088</v>
      </c>
      <c r="C24" s="9" t="s">
        <v>1089</v>
      </c>
      <c r="D24" s="9" t="s">
        <v>1090</v>
      </c>
      <c r="E24" s="9"/>
    </row>
    <row r="25" customFormat="false" ht="15" hidden="false" customHeight="false" outlineLevel="0" collapsed="false">
      <c r="A25" s="9" t="s">
        <v>1081</v>
      </c>
      <c r="B25" s="9" t="s">
        <v>1091</v>
      </c>
      <c r="C25" s="9" t="s">
        <v>1083</v>
      </c>
      <c r="D25" s="9" t="s">
        <v>1092</v>
      </c>
      <c r="E25" s="9"/>
    </row>
    <row r="26" customFormat="false" ht="23.85" hidden="false" customHeight="false" outlineLevel="0" collapsed="false">
      <c r="A26" s="9" t="s">
        <v>1081</v>
      </c>
      <c r="B26" s="9" t="s">
        <v>1093</v>
      </c>
      <c r="C26" s="9" t="s">
        <v>1083</v>
      </c>
      <c r="D26" s="9" t="s">
        <v>1094</v>
      </c>
      <c r="E26" s="9"/>
    </row>
    <row r="27" customFormat="false" ht="15" hidden="false" customHeight="false" outlineLevel="0" collapsed="false">
      <c r="A27" s="9" t="s">
        <v>1095</v>
      </c>
      <c r="B27" s="9" t="s">
        <v>1096</v>
      </c>
      <c r="C27" s="9" t="s">
        <v>1083</v>
      </c>
      <c r="D27" s="9" t="s">
        <v>1097</v>
      </c>
      <c r="E27" s="9"/>
    </row>
    <row r="28" customFormat="false" ht="15" hidden="false" customHeight="false" outlineLevel="0" collapsed="false">
      <c r="A28" s="9" t="s">
        <v>1095</v>
      </c>
      <c r="B28" s="9" t="s">
        <v>1098</v>
      </c>
      <c r="C28" s="9" t="s">
        <v>1083</v>
      </c>
      <c r="D28" s="9" t="s">
        <v>1099</v>
      </c>
      <c r="E28" s="9"/>
    </row>
    <row r="29" customFormat="false" ht="15" hidden="false" customHeight="false" outlineLevel="0" collapsed="false">
      <c r="A29" s="9" t="s">
        <v>1095</v>
      </c>
      <c r="B29" s="9" t="s">
        <v>1100</v>
      </c>
      <c r="C29" s="9" t="s">
        <v>1083</v>
      </c>
      <c r="D29" s="9" t="s">
        <v>1101</v>
      </c>
      <c r="E29" s="9"/>
    </row>
    <row r="30" customFormat="false" ht="15" hidden="false" customHeight="false" outlineLevel="0" collapsed="false">
      <c r="A30" s="9" t="s">
        <v>1095</v>
      </c>
      <c r="B30" s="9" t="s">
        <v>1102</v>
      </c>
      <c r="C30" s="9" t="s">
        <v>1083</v>
      </c>
      <c r="D30" s="9" t="s">
        <v>1103</v>
      </c>
      <c r="E30" s="9"/>
    </row>
    <row r="31" customFormat="false" ht="15" hidden="false" customHeight="false" outlineLevel="0" collapsed="false">
      <c r="A31" s="9" t="s">
        <v>1095</v>
      </c>
      <c r="B31" s="9" t="s">
        <v>1104</v>
      </c>
      <c r="C31" s="9" t="s">
        <v>1083</v>
      </c>
      <c r="D31" s="9" t="s">
        <v>1105</v>
      </c>
      <c r="E31" s="9"/>
    </row>
    <row r="32" customFormat="false" ht="15" hidden="false" customHeight="false" outlineLevel="0" collapsed="false">
      <c r="A32" s="9" t="s">
        <v>1095</v>
      </c>
      <c r="B32" s="9" t="s">
        <v>1106</v>
      </c>
      <c r="C32" s="9" t="s">
        <v>1083</v>
      </c>
      <c r="D32" s="9" t="s">
        <v>1107</v>
      </c>
      <c r="E32" s="9"/>
    </row>
    <row r="33" customFormat="false" ht="15" hidden="false" customHeight="false" outlineLevel="0" collapsed="false">
      <c r="A33" s="9" t="s">
        <v>1095</v>
      </c>
      <c r="B33" s="9" t="s">
        <v>1108</v>
      </c>
      <c r="C33" s="9" t="s">
        <v>1109</v>
      </c>
      <c r="D33" s="9" t="s">
        <v>1110</v>
      </c>
      <c r="E33" s="9"/>
    </row>
    <row r="34" customFormat="false" ht="15" hidden="false" customHeight="false" outlineLevel="0" collapsed="false">
      <c r="A34" s="9" t="s">
        <v>1095</v>
      </c>
      <c r="B34" s="9" t="s">
        <v>1111</v>
      </c>
      <c r="C34" s="9" t="s">
        <v>1083</v>
      </c>
      <c r="D34" s="9" t="s">
        <v>1112</v>
      </c>
      <c r="E34" s="9"/>
    </row>
    <row r="35" customFormat="false" ht="15" hidden="false" customHeight="false" outlineLevel="0" collapsed="false">
      <c r="A35" s="9" t="s">
        <v>1113</v>
      </c>
      <c r="B35" s="9" t="s">
        <v>1114</v>
      </c>
      <c r="C35" s="9" t="s">
        <v>1115</v>
      </c>
      <c r="D35" s="9" t="s">
        <v>1116</v>
      </c>
      <c r="E35" s="9"/>
    </row>
    <row r="36" customFormat="false" ht="15" hidden="false" customHeight="false" outlineLevel="0" collapsed="false">
      <c r="A36" s="9" t="s">
        <v>1113</v>
      </c>
      <c r="B36" s="9" t="s">
        <v>1117</v>
      </c>
      <c r="C36" s="9" t="s">
        <v>1115</v>
      </c>
      <c r="D36" s="9" t="s">
        <v>1118</v>
      </c>
      <c r="E36" s="9"/>
    </row>
    <row r="37" customFormat="false" ht="15" hidden="false" customHeight="false" outlineLevel="0" collapsed="false">
      <c r="A37" s="9" t="s">
        <v>1113</v>
      </c>
      <c r="B37" s="9" t="s">
        <v>1119</v>
      </c>
      <c r="C37" s="9" t="s">
        <v>1083</v>
      </c>
      <c r="D37" s="9" t="s">
        <v>1120</v>
      </c>
      <c r="E37" s="9" t="s">
        <v>1121</v>
      </c>
    </row>
    <row r="38" customFormat="false" ht="15" hidden="false" customHeight="false" outlineLevel="0" collapsed="false">
      <c r="A38" s="9" t="s">
        <v>1113</v>
      </c>
      <c r="B38" s="9" t="s">
        <v>1122</v>
      </c>
      <c r="C38" s="9" t="s">
        <v>1089</v>
      </c>
      <c r="D38" s="9" t="s">
        <v>1123</v>
      </c>
      <c r="E38" s="9"/>
    </row>
    <row r="39" customFormat="false" ht="15" hidden="false" customHeight="false" outlineLevel="0" collapsed="false">
      <c r="A39" s="9" t="s">
        <v>1113</v>
      </c>
      <c r="B39" s="9" t="s">
        <v>1124</v>
      </c>
      <c r="C39" s="9" t="s">
        <v>1125</v>
      </c>
      <c r="D39" s="9" t="s">
        <v>1126</v>
      </c>
      <c r="E39" s="9"/>
    </row>
    <row r="40" customFormat="false" ht="15" hidden="false" customHeight="false" outlineLevel="0" collapsed="false">
      <c r="A40" s="9" t="s">
        <v>1113</v>
      </c>
      <c r="B40" s="9" t="s">
        <v>1127</v>
      </c>
      <c r="C40" s="9" t="s">
        <v>1128</v>
      </c>
      <c r="D40" s="9" t="s">
        <v>1129</v>
      </c>
      <c r="E40" s="9"/>
    </row>
    <row r="41" customFormat="false" ht="15" hidden="false" customHeight="false" outlineLevel="0" collapsed="false">
      <c r="A41" s="9" t="s">
        <v>1130</v>
      </c>
      <c r="B41" s="9" t="s">
        <v>1114</v>
      </c>
      <c r="C41" s="9" t="s">
        <v>1131</v>
      </c>
      <c r="D41" s="9" t="s">
        <v>1132</v>
      </c>
      <c r="E41" s="9" t="s">
        <v>1133</v>
      </c>
    </row>
    <row r="42" customFormat="false" ht="15" hidden="false" customHeight="false" outlineLevel="0" collapsed="false">
      <c r="A42" s="9" t="s">
        <v>1130</v>
      </c>
      <c r="B42" s="9" t="s">
        <v>1134</v>
      </c>
      <c r="C42" s="9" t="s">
        <v>1135</v>
      </c>
      <c r="D42" s="9" t="s">
        <v>1136</v>
      </c>
      <c r="E42" s="9"/>
    </row>
    <row r="43" customFormat="false" ht="15" hidden="false" customHeight="false" outlineLevel="0" collapsed="false">
      <c r="A43" s="9" t="s">
        <v>1130</v>
      </c>
      <c r="B43" s="9" t="s">
        <v>1122</v>
      </c>
      <c r="C43" s="9" t="s">
        <v>1135</v>
      </c>
      <c r="D43" s="9" t="s">
        <v>1137</v>
      </c>
      <c r="E43" s="9"/>
    </row>
    <row r="44" customFormat="false" ht="15" hidden="false" customHeight="false" outlineLevel="0" collapsed="false">
      <c r="A44" s="9" t="s">
        <v>1130</v>
      </c>
      <c r="B44" s="9" t="s">
        <v>1124</v>
      </c>
      <c r="C44" s="9" t="s">
        <v>1135</v>
      </c>
      <c r="D44" s="9" t="s">
        <v>1138</v>
      </c>
      <c r="E44" s="9"/>
    </row>
    <row r="45" customFormat="false" ht="15" hidden="false" customHeight="false" outlineLevel="0" collapsed="false">
      <c r="A45" s="9" t="s">
        <v>1130</v>
      </c>
      <c r="B45" s="9" t="s">
        <v>1139</v>
      </c>
      <c r="C45" s="9" t="s">
        <v>160</v>
      </c>
      <c r="D45" s="9" t="s">
        <v>1140</v>
      </c>
      <c r="E45" s="9"/>
    </row>
    <row r="46" customFormat="false" ht="23.85" hidden="false" customHeight="false" outlineLevel="0" collapsed="false">
      <c r="A46" s="9" t="s">
        <v>1141</v>
      </c>
      <c r="B46" s="9" t="s">
        <v>1142</v>
      </c>
      <c r="C46" s="9" t="s">
        <v>1143</v>
      </c>
      <c r="D46" s="9" t="s">
        <v>1144</v>
      </c>
      <c r="E46" s="9"/>
    </row>
    <row r="47" customFormat="false" ht="15" hidden="false" customHeight="false" outlineLevel="0" collapsed="false">
      <c r="A47" s="9" t="s">
        <v>1141</v>
      </c>
      <c r="B47" s="9" t="s">
        <v>1119</v>
      </c>
      <c r="C47" s="9" t="s">
        <v>1145</v>
      </c>
      <c r="D47" s="9" t="s">
        <v>1146</v>
      </c>
      <c r="E47" s="9"/>
    </row>
    <row r="48" customFormat="false" ht="15" hidden="false" customHeight="false" outlineLevel="0" collapsed="false">
      <c r="A48" s="9" t="s">
        <v>1141</v>
      </c>
      <c r="B48" s="9" t="s">
        <v>1147</v>
      </c>
      <c r="C48" s="9" t="s">
        <v>1148</v>
      </c>
      <c r="D48" s="9" t="s">
        <v>1149</v>
      </c>
      <c r="E48" s="9"/>
    </row>
    <row r="49" customFormat="false" ht="15" hidden="false" customHeight="false" outlineLevel="0" collapsed="false">
      <c r="A49" s="9" t="s">
        <v>1141</v>
      </c>
      <c r="B49" s="9" t="s">
        <v>1150</v>
      </c>
      <c r="C49" s="9" t="s">
        <v>1151</v>
      </c>
      <c r="D49" s="9" t="s">
        <v>1152</v>
      </c>
      <c r="E49" s="9"/>
    </row>
    <row r="50" customFormat="false" ht="15" hidden="false" customHeight="false" outlineLevel="0" collapsed="false">
      <c r="A50" s="9" t="s">
        <v>1141</v>
      </c>
      <c r="B50" s="9" t="s">
        <v>1153</v>
      </c>
      <c r="C50" s="9" t="s">
        <v>1154</v>
      </c>
      <c r="D50" s="9" t="s">
        <v>1155</v>
      </c>
      <c r="E50" s="9"/>
    </row>
    <row r="51" customFormat="false" ht="15" hidden="false" customHeight="false" outlineLevel="0" collapsed="false">
      <c r="A51" s="9" t="s">
        <v>1141</v>
      </c>
      <c r="B51" s="9" t="s">
        <v>1156</v>
      </c>
      <c r="C51" s="9" t="s">
        <v>1157</v>
      </c>
      <c r="D51" s="9" t="s">
        <v>1158</v>
      </c>
      <c r="E51" s="9" t="s">
        <v>1159</v>
      </c>
    </row>
    <row r="52" customFormat="false" ht="15" hidden="false" customHeight="false" outlineLevel="0" collapsed="false">
      <c r="A52" s="9" t="s">
        <v>1141</v>
      </c>
      <c r="B52" s="9" t="s">
        <v>1122</v>
      </c>
      <c r="C52" s="9" t="s">
        <v>1160</v>
      </c>
      <c r="D52" s="9" t="s">
        <v>1161</v>
      </c>
      <c r="E52" s="9"/>
    </row>
    <row r="53" customFormat="false" ht="15" hidden="false" customHeight="false" outlineLevel="0" collapsed="false">
      <c r="A53" s="9" t="s">
        <v>1162</v>
      </c>
      <c r="B53" s="9" t="s">
        <v>1163</v>
      </c>
      <c r="C53" s="9" t="s">
        <v>1164</v>
      </c>
      <c r="D53" s="9" t="s">
        <v>1165</v>
      </c>
      <c r="E53" s="9"/>
    </row>
    <row r="54" customFormat="false" ht="15" hidden="false" customHeight="false" outlineLevel="0" collapsed="false">
      <c r="A54" s="9" t="s">
        <v>1162</v>
      </c>
      <c r="B54" s="9" t="s">
        <v>1166</v>
      </c>
      <c r="C54" s="9" t="s">
        <v>1164</v>
      </c>
      <c r="D54" s="9" t="s">
        <v>1167</v>
      </c>
      <c r="E54" s="9" t="s">
        <v>1168</v>
      </c>
    </row>
    <row r="55" customFormat="false" ht="15" hidden="false" customHeight="false" outlineLevel="0" collapsed="false">
      <c r="A55" s="9" t="s">
        <v>1162</v>
      </c>
      <c r="B55" s="9" t="s">
        <v>1169</v>
      </c>
      <c r="C55" s="9" t="s">
        <v>1164</v>
      </c>
      <c r="D55" s="9" t="s">
        <v>1170</v>
      </c>
      <c r="E55" s="9"/>
    </row>
    <row r="56" customFormat="false" ht="46.25" hidden="false" customHeight="false" outlineLevel="0" collapsed="false">
      <c r="A56" s="9" t="s">
        <v>1171</v>
      </c>
      <c r="B56" s="9" t="s">
        <v>1172</v>
      </c>
      <c r="C56" s="9" t="s">
        <v>1173</v>
      </c>
      <c r="D56" s="9" t="s">
        <v>1174</v>
      </c>
      <c r="E56"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2"/>
    <col collapsed="false" customWidth="true" hidden="false" outlineLevel="0" max="3" min="3" style="0" width="90"/>
  </cols>
  <sheetData>
    <row r="1" customFormat="false" ht="15" hidden="false" customHeight="false" outlineLevel="0" collapsed="false">
      <c r="A1" s="2" t="s">
        <v>1175</v>
      </c>
    </row>
    <row r="3" customFormat="false" ht="15" hidden="false" customHeight="false" outlineLevel="0" collapsed="false">
      <c r="A3" s="8" t="s">
        <v>149</v>
      </c>
      <c r="B3" s="8" t="s">
        <v>936</v>
      </c>
      <c r="C3" s="8" t="s">
        <v>1176</v>
      </c>
    </row>
    <row r="4" customFormat="false" ht="15" hidden="false" customHeight="false" outlineLevel="0" collapsed="false">
      <c r="A4" s="9" t="s">
        <v>239</v>
      </c>
      <c r="B4" s="9" t="s">
        <v>994</v>
      </c>
      <c r="C4" s="9" t="s">
        <v>40</v>
      </c>
    </row>
    <row r="5" customFormat="false" ht="15" hidden="false" customHeight="false" outlineLevel="0" collapsed="false">
      <c r="A5" s="9" t="s">
        <v>190</v>
      </c>
      <c r="B5" s="9" t="s">
        <v>994</v>
      </c>
      <c r="C5" s="9" t="s">
        <v>44</v>
      </c>
    </row>
    <row r="6" customFormat="false" ht="15" hidden="false" customHeight="false" outlineLevel="0" collapsed="false">
      <c r="A6" s="9" t="s">
        <v>178</v>
      </c>
      <c r="B6" s="9" t="s">
        <v>995</v>
      </c>
      <c r="C6" s="9" t="s">
        <v>1177</v>
      </c>
    </row>
    <row r="7" customFormat="false" ht="15" hidden="false" customHeight="false" outlineLevel="0" collapsed="false">
      <c r="A7" s="9" t="s">
        <v>178</v>
      </c>
      <c r="B7" s="9" t="s">
        <v>995</v>
      </c>
      <c r="C7" s="9" t="s">
        <v>1178</v>
      </c>
    </row>
    <row r="8" customFormat="false" ht="15" hidden="false" customHeight="false" outlineLevel="0" collapsed="false">
      <c r="A8" s="9" t="s">
        <v>178</v>
      </c>
      <c r="B8" s="9" t="s">
        <v>1179</v>
      </c>
      <c r="C8" s="9" t="s">
        <v>1180</v>
      </c>
    </row>
    <row r="9" customFormat="false" ht="15" hidden="false" customHeight="false" outlineLevel="0" collapsed="false">
      <c r="A9" s="9" t="s">
        <v>171</v>
      </c>
      <c r="B9" s="9" t="s">
        <v>994</v>
      </c>
      <c r="C9" s="9" t="s">
        <v>1181</v>
      </c>
    </row>
    <row r="10" customFormat="false" ht="15" hidden="false" customHeight="false" outlineLevel="0" collapsed="false">
      <c r="A10" s="9" t="s">
        <v>171</v>
      </c>
      <c r="B10" s="9" t="s">
        <v>995</v>
      </c>
      <c r="C10" s="9" t="s">
        <v>1182</v>
      </c>
    </row>
    <row r="11" customFormat="false" ht="15" hidden="false" customHeight="false" outlineLevel="0" collapsed="false">
      <c r="A11" s="9" t="s">
        <v>171</v>
      </c>
      <c r="B11" s="9" t="s">
        <v>995</v>
      </c>
      <c r="C11" s="9" t="s">
        <v>1183</v>
      </c>
    </row>
    <row r="12" customFormat="false" ht="15" hidden="false" customHeight="false" outlineLevel="0" collapsed="false">
      <c r="A12" s="9" t="s">
        <v>220</v>
      </c>
      <c r="B12" s="9" t="s">
        <v>994</v>
      </c>
      <c r="C12" s="9" t="s">
        <v>1184</v>
      </c>
    </row>
    <row r="13" customFormat="false" ht="15" hidden="false" customHeight="false" outlineLevel="0" collapsed="false">
      <c r="A13" s="9" t="s">
        <v>192</v>
      </c>
      <c r="B13" s="9" t="s">
        <v>994</v>
      </c>
      <c r="C13" s="9" t="s">
        <v>117</v>
      </c>
    </row>
    <row r="14" customFormat="false" ht="15" hidden="false" customHeight="false" outlineLevel="0" collapsed="false">
      <c r="A14" s="9" t="s">
        <v>213</v>
      </c>
      <c r="B14" s="9" t="s">
        <v>994</v>
      </c>
      <c r="C14" s="9" t="s">
        <v>81</v>
      </c>
    </row>
    <row r="15" customFormat="false" ht="15" hidden="false" customHeight="false" outlineLevel="0" collapsed="false">
      <c r="A15" s="9" t="s">
        <v>185</v>
      </c>
      <c r="B15" s="9" t="s">
        <v>994</v>
      </c>
      <c r="C15" s="9" t="s">
        <v>86</v>
      </c>
    </row>
    <row r="16" customFormat="false" ht="15" hidden="false" customHeight="false" outlineLevel="0" collapsed="false">
      <c r="A16" s="9" t="s">
        <v>185</v>
      </c>
      <c r="B16" s="9" t="s">
        <v>995</v>
      </c>
      <c r="C16" s="9" t="s">
        <v>1185</v>
      </c>
    </row>
    <row r="17" customFormat="false" ht="15" hidden="false" customHeight="false" outlineLevel="0" collapsed="false">
      <c r="A17" s="9" t="s">
        <v>185</v>
      </c>
      <c r="B17" s="9" t="s">
        <v>995</v>
      </c>
      <c r="C17" s="9" t="s">
        <v>1186</v>
      </c>
    </row>
    <row r="18" customFormat="false" ht="15" hidden="false" customHeight="false" outlineLevel="0" collapsed="false">
      <c r="A18" s="9" t="s">
        <v>185</v>
      </c>
      <c r="B18" s="9" t="s">
        <v>995</v>
      </c>
      <c r="C18" s="9" t="s">
        <v>1187</v>
      </c>
    </row>
    <row r="19" customFormat="false" ht="15" hidden="false" customHeight="false" outlineLevel="0" collapsed="false">
      <c r="A19" s="9" t="s">
        <v>202</v>
      </c>
      <c r="B19" s="9" t="s">
        <v>994</v>
      </c>
      <c r="C19" s="9" t="s">
        <v>90</v>
      </c>
    </row>
    <row r="20" customFormat="false" ht="15" hidden="false" customHeight="false" outlineLevel="0" collapsed="false">
      <c r="A20" s="9" t="s">
        <v>202</v>
      </c>
      <c r="B20" s="9" t="s">
        <v>995</v>
      </c>
      <c r="C20" s="9" t="s">
        <v>1188</v>
      </c>
    </row>
    <row r="21" customFormat="false" ht="15" hidden="false" customHeight="false" outlineLevel="0" collapsed="false">
      <c r="A21" s="9" t="s">
        <v>214</v>
      </c>
      <c r="B21" s="9" t="s">
        <v>994</v>
      </c>
      <c r="C21" s="9" t="s">
        <v>95</v>
      </c>
    </row>
    <row r="22" customFormat="false" ht="15" hidden="false" customHeight="false" outlineLevel="0" collapsed="false">
      <c r="A22" s="9" t="s">
        <v>187</v>
      </c>
      <c r="B22" s="9" t="s">
        <v>994</v>
      </c>
      <c r="C22" s="9" t="s">
        <v>75</v>
      </c>
    </row>
    <row r="23" customFormat="false" ht="15" hidden="false" customHeight="false" outlineLevel="0" collapsed="false">
      <c r="A23" s="9" t="s">
        <v>187</v>
      </c>
      <c r="B23" s="9" t="s">
        <v>995</v>
      </c>
      <c r="C23" s="9" t="s">
        <v>1189</v>
      </c>
    </row>
    <row r="24" customFormat="false" ht="15" hidden="false" customHeight="false" outlineLevel="0" collapsed="false">
      <c r="A24" s="9" t="s">
        <v>187</v>
      </c>
      <c r="B24" s="9" t="s">
        <v>995</v>
      </c>
      <c r="C24" s="9" t="s">
        <v>1190</v>
      </c>
    </row>
    <row r="25" customFormat="false" ht="15" hidden="false" customHeight="false" outlineLevel="0" collapsed="false">
      <c r="A25" s="9" t="s">
        <v>187</v>
      </c>
      <c r="B25" s="9" t="s">
        <v>995</v>
      </c>
      <c r="C25" s="9" t="s">
        <v>1191</v>
      </c>
    </row>
    <row r="26" customFormat="false" ht="15" hidden="false" customHeight="false" outlineLevel="0" collapsed="false">
      <c r="A26" s="9" t="s">
        <v>215</v>
      </c>
      <c r="B26" s="9" t="s">
        <v>994</v>
      </c>
      <c r="C26" s="9" t="s">
        <v>100</v>
      </c>
    </row>
    <row r="27" customFormat="false" ht="15" hidden="false" customHeight="false" outlineLevel="0" collapsed="false">
      <c r="A27" s="9" t="s">
        <v>216</v>
      </c>
      <c r="B27" s="9" t="s">
        <v>994</v>
      </c>
      <c r="C27" s="9" t="s">
        <v>105</v>
      </c>
    </row>
    <row r="28" customFormat="false" ht="15" hidden="false" customHeight="false" outlineLevel="0" collapsed="false">
      <c r="A28" s="9" t="s">
        <v>268</v>
      </c>
      <c r="B28" s="9" t="s">
        <v>995</v>
      </c>
      <c r="C28" s="9" t="s">
        <v>1192</v>
      </c>
    </row>
    <row r="29" customFormat="false" ht="15" hidden="false" customHeight="false" outlineLevel="0" collapsed="false">
      <c r="A29" s="9" t="s">
        <v>268</v>
      </c>
      <c r="B29" s="9" t="s">
        <v>1179</v>
      </c>
      <c r="C29" s="9" t="s">
        <v>1193</v>
      </c>
    </row>
    <row r="30" customFormat="false" ht="15" hidden="false" customHeight="false" outlineLevel="0" collapsed="false">
      <c r="A30" s="9" t="s">
        <v>268</v>
      </c>
      <c r="B30" s="9" t="s">
        <v>1179</v>
      </c>
      <c r="C30" s="9" t="s">
        <v>1194</v>
      </c>
    </row>
    <row r="31" customFormat="false" ht="15" hidden="false" customHeight="false" outlineLevel="0" collapsed="false">
      <c r="A31" s="9" t="s">
        <v>271</v>
      </c>
      <c r="B31" s="9" t="s">
        <v>1179</v>
      </c>
      <c r="C31" s="9" t="s">
        <v>1195</v>
      </c>
    </row>
    <row r="32" customFormat="false" ht="15" hidden="false" customHeight="false" outlineLevel="0" collapsed="false">
      <c r="A32" s="9" t="s">
        <v>183</v>
      </c>
      <c r="B32" s="9" t="s">
        <v>1179</v>
      </c>
      <c r="C32" s="9" t="s">
        <v>1196</v>
      </c>
    </row>
    <row r="33" customFormat="false" ht="15" hidden="false" customHeight="false" outlineLevel="0" collapsed="false">
      <c r="A33" s="9" t="s">
        <v>189</v>
      </c>
      <c r="B33" s="9" t="s">
        <v>1197</v>
      </c>
      <c r="C33" s="9" t="s">
        <v>1198</v>
      </c>
    </row>
    <row r="34" customFormat="false" ht="15" hidden="false" customHeight="false" outlineLevel="0" collapsed="false">
      <c r="A34" s="9" t="s">
        <v>161</v>
      </c>
      <c r="B34" s="9" t="s">
        <v>995</v>
      </c>
      <c r="C34" s="9" t="s">
        <v>1199</v>
      </c>
    </row>
    <row r="35" customFormat="false" ht="15" hidden="false" customHeight="false" outlineLevel="0" collapsed="false">
      <c r="A35" s="9" t="s">
        <v>175</v>
      </c>
      <c r="B35" s="9" t="s">
        <v>995</v>
      </c>
      <c r="C35" s="9" t="s">
        <v>1200</v>
      </c>
    </row>
    <row r="36" customFormat="false" ht="15" hidden="false" customHeight="false" outlineLevel="0" collapsed="false">
      <c r="A36" s="9" t="s">
        <v>175</v>
      </c>
      <c r="B36" s="9" t="s">
        <v>1179</v>
      </c>
      <c r="C36" s="9" t="s">
        <v>1201</v>
      </c>
    </row>
    <row r="37" customFormat="false" ht="15" hidden="false" customHeight="false" outlineLevel="0" collapsed="false">
      <c r="A37" s="9" t="s">
        <v>175</v>
      </c>
      <c r="B37" s="9" t="s">
        <v>1179</v>
      </c>
      <c r="C37" s="9" t="s">
        <v>1202</v>
      </c>
    </row>
    <row r="38" customFormat="false" ht="15" hidden="false" customHeight="false" outlineLevel="0" collapsed="false">
      <c r="A38" s="9" t="s">
        <v>175</v>
      </c>
      <c r="B38" s="9" t="s">
        <v>1179</v>
      </c>
      <c r="C38" s="9" t="s">
        <v>1203</v>
      </c>
    </row>
    <row r="39" customFormat="false" ht="15" hidden="false" customHeight="false" outlineLevel="0" collapsed="false">
      <c r="A39" s="9" t="s">
        <v>175</v>
      </c>
      <c r="B39" s="9" t="s">
        <v>1179</v>
      </c>
      <c r="C39" s="9" t="s">
        <v>1204</v>
      </c>
    </row>
    <row r="40" customFormat="false" ht="15" hidden="false" customHeight="false" outlineLevel="0" collapsed="false">
      <c r="A40" s="9" t="s">
        <v>181</v>
      </c>
      <c r="B40" s="9" t="s">
        <v>1197</v>
      </c>
      <c r="C40" s="9" t="s">
        <v>1205</v>
      </c>
    </row>
    <row r="41" customFormat="false" ht="15" hidden="false" customHeight="false" outlineLevel="0" collapsed="false">
      <c r="A41" s="9" t="s">
        <v>223</v>
      </c>
      <c r="B41" s="9" t="s">
        <v>1179</v>
      </c>
      <c r="C41" s="9" t="s">
        <v>1206</v>
      </c>
    </row>
    <row r="42" customFormat="false" ht="15" hidden="false" customHeight="false" outlineLevel="0" collapsed="false">
      <c r="A42" s="9" t="s">
        <v>225</v>
      </c>
      <c r="B42" s="9" t="s">
        <v>1179</v>
      </c>
      <c r="C42" s="9" t="s">
        <v>1207</v>
      </c>
    </row>
    <row r="43" customFormat="false" ht="15" hidden="false" customHeight="false" outlineLevel="0" collapsed="false">
      <c r="A43" s="9" t="s">
        <v>205</v>
      </c>
      <c r="B43" s="9" t="s">
        <v>1208</v>
      </c>
      <c r="C43" s="9" t="s">
        <v>1209</v>
      </c>
    </row>
    <row r="44" customFormat="false" ht="15" hidden="false" customHeight="false" outlineLevel="0" collapsed="false">
      <c r="A44" s="9" t="s">
        <v>205</v>
      </c>
      <c r="B44" s="9" t="s">
        <v>1179</v>
      </c>
      <c r="C44" s="9" t="s">
        <v>1209</v>
      </c>
    </row>
    <row r="45" customFormat="false" ht="15" hidden="false" customHeight="false" outlineLevel="0" collapsed="false">
      <c r="A45" s="9" t="s">
        <v>166</v>
      </c>
      <c r="B45" s="9" t="s">
        <v>995</v>
      </c>
      <c r="C45" s="9" t="s">
        <v>1210</v>
      </c>
    </row>
    <row r="46" customFormat="false" ht="15" hidden="false" customHeight="false" outlineLevel="0" collapsed="false">
      <c r="A46" s="9" t="s">
        <v>166</v>
      </c>
      <c r="B46" s="9" t="s">
        <v>995</v>
      </c>
      <c r="C46" s="9" t="s">
        <v>1211</v>
      </c>
    </row>
    <row r="47" customFormat="false" ht="15" hidden="false" customHeight="false" outlineLevel="0" collapsed="false">
      <c r="A47" s="9" t="s">
        <v>166</v>
      </c>
      <c r="B47" s="9" t="s">
        <v>995</v>
      </c>
      <c r="C47" s="9" t="s">
        <v>1212</v>
      </c>
    </row>
    <row r="48" customFormat="false" ht="15" hidden="false" customHeight="false" outlineLevel="0" collapsed="false">
      <c r="A48" s="9" t="s">
        <v>166</v>
      </c>
      <c r="B48" s="9" t="s">
        <v>995</v>
      </c>
      <c r="C48" s="9" t="s">
        <v>1213</v>
      </c>
    </row>
    <row r="49" customFormat="false" ht="15" hidden="false" customHeight="false" outlineLevel="0" collapsed="false">
      <c r="A49" s="9" t="s">
        <v>172</v>
      </c>
      <c r="B49" s="9" t="s">
        <v>995</v>
      </c>
      <c r="C49" s="9" t="s">
        <v>1214</v>
      </c>
    </row>
    <row r="50" customFormat="false" ht="15" hidden="false" customHeight="false" outlineLevel="0" collapsed="false">
      <c r="A50" s="9" t="s">
        <v>180</v>
      </c>
      <c r="B50" s="9" t="s">
        <v>995</v>
      </c>
      <c r="C50" s="9" t="s">
        <v>1215</v>
      </c>
    </row>
    <row r="51" customFormat="false" ht="15" hidden="false" customHeight="false" outlineLevel="0" collapsed="false">
      <c r="A51" s="9" t="s">
        <v>165</v>
      </c>
      <c r="B51" s="9" t="s">
        <v>995</v>
      </c>
      <c r="C51" s="9" t="s">
        <v>1216</v>
      </c>
    </row>
    <row r="52" customFormat="false" ht="15" hidden="false" customHeight="false" outlineLevel="0" collapsed="false">
      <c r="A52" s="9" t="s">
        <v>165</v>
      </c>
      <c r="B52" s="9" t="s">
        <v>1179</v>
      </c>
      <c r="C52" s="9" t="s">
        <v>1217</v>
      </c>
    </row>
    <row r="53" customFormat="false" ht="15" hidden="false" customHeight="false" outlineLevel="0" collapsed="false">
      <c r="A53" s="9" t="s">
        <v>162</v>
      </c>
      <c r="B53" s="9" t="s">
        <v>1208</v>
      </c>
      <c r="C53" s="9" t="s">
        <v>1218</v>
      </c>
    </row>
    <row r="54" customFormat="false" ht="15" hidden="false" customHeight="false" outlineLevel="0" collapsed="false">
      <c r="A54" s="9" t="s">
        <v>197</v>
      </c>
      <c r="B54" s="9" t="s">
        <v>995</v>
      </c>
      <c r="C54" s="9" t="s">
        <v>31</v>
      </c>
    </row>
    <row r="55" customFormat="false" ht="15" hidden="false" customHeight="false" outlineLevel="0" collapsed="false">
      <c r="A55" s="9" t="s">
        <v>197</v>
      </c>
      <c r="B55" s="9" t="s">
        <v>1179</v>
      </c>
      <c r="C55" s="9" t="s">
        <v>1181</v>
      </c>
    </row>
    <row r="56" customFormat="false" ht="15" hidden="false" customHeight="false" outlineLevel="0" collapsed="false">
      <c r="A56" s="9" t="s">
        <v>197</v>
      </c>
      <c r="B56" s="9" t="s">
        <v>1179</v>
      </c>
      <c r="C56" s="9" t="s">
        <v>1219</v>
      </c>
    </row>
    <row r="57" customFormat="false" ht="15" hidden="false" customHeight="false" outlineLevel="0" collapsed="false">
      <c r="A57" s="9" t="s">
        <v>197</v>
      </c>
      <c r="B57" s="9" t="s">
        <v>1179</v>
      </c>
      <c r="C57" s="9" t="s">
        <v>1220</v>
      </c>
    </row>
    <row r="58" customFormat="false" ht="15" hidden="false" customHeight="false" outlineLevel="0" collapsed="false">
      <c r="A58" s="9" t="s">
        <v>168</v>
      </c>
      <c r="B58" s="9" t="s">
        <v>1197</v>
      </c>
      <c r="C58" s="9" t="s">
        <v>1221</v>
      </c>
    </row>
    <row r="59" customFormat="false" ht="15" hidden="false" customHeight="false" outlineLevel="0" collapsed="false">
      <c r="A59" s="9" t="s">
        <v>168</v>
      </c>
      <c r="B59" s="9" t="s">
        <v>1179</v>
      </c>
      <c r="C59" s="9" t="s">
        <v>1222</v>
      </c>
    </row>
    <row r="60" customFormat="false" ht="15" hidden="false" customHeight="false" outlineLevel="0" collapsed="false">
      <c r="A60" s="9" t="s">
        <v>170</v>
      </c>
      <c r="B60" s="9" t="s">
        <v>995</v>
      </c>
      <c r="C60" s="9" t="s">
        <v>1223</v>
      </c>
    </row>
    <row r="61" customFormat="false" ht="15" hidden="false" customHeight="false" outlineLevel="0" collapsed="false">
      <c r="A61" s="9" t="s">
        <v>170</v>
      </c>
      <c r="B61" s="9" t="s">
        <v>995</v>
      </c>
      <c r="C61" s="9" t="s">
        <v>1224</v>
      </c>
    </row>
    <row r="62" customFormat="false" ht="15" hidden="false" customHeight="false" outlineLevel="0" collapsed="false">
      <c r="A62" s="9" t="s">
        <v>170</v>
      </c>
      <c r="B62" s="9" t="s">
        <v>995</v>
      </c>
      <c r="C62" s="9" t="s">
        <v>1225</v>
      </c>
    </row>
    <row r="63" customFormat="false" ht="15" hidden="false" customHeight="false" outlineLevel="0" collapsed="false">
      <c r="A63" s="9" t="s">
        <v>170</v>
      </c>
      <c r="B63" s="9" t="s">
        <v>995</v>
      </c>
      <c r="C63" s="9" t="s">
        <v>1226</v>
      </c>
    </row>
    <row r="64" customFormat="false" ht="15" hidden="false" customHeight="false" outlineLevel="0" collapsed="false">
      <c r="A64" s="9" t="s">
        <v>170</v>
      </c>
      <c r="B64" s="9" t="s">
        <v>1179</v>
      </c>
      <c r="C64" s="9" t="s">
        <v>1227</v>
      </c>
    </row>
    <row r="65" customFormat="false" ht="15" hidden="false" customHeight="false" outlineLevel="0" collapsed="false">
      <c r="A65" s="9" t="s">
        <v>238</v>
      </c>
      <c r="B65" s="9" t="s">
        <v>1074</v>
      </c>
      <c r="C65" s="9" t="s">
        <v>1228</v>
      </c>
    </row>
    <row r="66" customFormat="false" ht="15" hidden="false" customHeight="false" outlineLevel="0" collapsed="false">
      <c r="A66" s="9" t="s">
        <v>238</v>
      </c>
      <c r="B66" s="9" t="s">
        <v>1074</v>
      </c>
      <c r="C66" s="9" t="s">
        <v>1229</v>
      </c>
    </row>
    <row r="67" customFormat="false" ht="15" hidden="false" customHeight="false" outlineLevel="0" collapsed="false">
      <c r="A67" s="9" t="s">
        <v>239</v>
      </c>
      <c r="B67" s="9" t="s">
        <v>1074</v>
      </c>
      <c r="C67" s="9" t="s">
        <v>40</v>
      </c>
    </row>
    <row r="68" customFormat="false" ht="23.85" hidden="false" customHeight="false" outlineLevel="0" collapsed="false">
      <c r="A68" s="9" t="s">
        <v>239</v>
      </c>
      <c r="B68" s="9" t="s">
        <v>1074</v>
      </c>
      <c r="C68" s="9" t="s">
        <v>1230</v>
      </c>
    </row>
    <row r="69" customFormat="false" ht="15" hidden="false" customHeight="false" outlineLevel="0" collapsed="false">
      <c r="A69" s="9" t="s">
        <v>239</v>
      </c>
      <c r="B69" s="9" t="s">
        <v>1074</v>
      </c>
      <c r="C69" s="9" t="s">
        <v>1231</v>
      </c>
    </row>
    <row r="70" customFormat="false" ht="15" hidden="false" customHeight="false" outlineLevel="0" collapsed="false">
      <c r="A70" s="9" t="s">
        <v>239</v>
      </c>
      <c r="B70" s="9" t="s">
        <v>1074</v>
      </c>
      <c r="C70" s="9" t="s">
        <v>1232</v>
      </c>
    </row>
    <row r="71" customFormat="false" ht="15" hidden="false" customHeight="false" outlineLevel="0" collapsed="false">
      <c r="A71" s="9" t="s">
        <v>190</v>
      </c>
      <c r="B71" s="9" t="s">
        <v>1074</v>
      </c>
      <c r="C71" s="9" t="s">
        <v>44</v>
      </c>
    </row>
    <row r="72" customFormat="false" ht="23.85" hidden="false" customHeight="false" outlineLevel="0" collapsed="false">
      <c r="A72" s="9" t="s">
        <v>190</v>
      </c>
      <c r="B72" s="9" t="s">
        <v>1074</v>
      </c>
      <c r="C72" s="9" t="s">
        <v>1233</v>
      </c>
    </row>
    <row r="73" customFormat="false" ht="15" hidden="false" customHeight="false" outlineLevel="0" collapsed="false">
      <c r="A73" s="9" t="s">
        <v>190</v>
      </c>
      <c r="B73" s="9" t="s">
        <v>1074</v>
      </c>
      <c r="C73" s="9" t="s">
        <v>1234</v>
      </c>
    </row>
    <row r="74" customFormat="false" ht="15" hidden="false" customHeight="false" outlineLevel="0" collapsed="false">
      <c r="A74" s="9" t="s">
        <v>178</v>
      </c>
      <c r="B74" s="9" t="s">
        <v>1074</v>
      </c>
      <c r="C74" s="9" t="s">
        <v>1235</v>
      </c>
    </row>
    <row r="75" customFormat="false" ht="15" hidden="false" customHeight="false" outlineLevel="0" collapsed="false">
      <c r="A75" s="9" t="s">
        <v>178</v>
      </c>
      <c r="B75" s="9" t="s">
        <v>1074</v>
      </c>
      <c r="C75" s="9" t="s">
        <v>1236</v>
      </c>
    </row>
    <row r="76" customFormat="false" ht="15" hidden="false" customHeight="false" outlineLevel="0" collapsed="false">
      <c r="A76" s="9" t="s">
        <v>178</v>
      </c>
      <c r="B76" s="9" t="s">
        <v>1074</v>
      </c>
      <c r="C76" s="9" t="s">
        <v>1237</v>
      </c>
    </row>
    <row r="77" customFormat="false" ht="15" hidden="false" customHeight="false" outlineLevel="0" collapsed="false">
      <c r="A77" s="9" t="s">
        <v>178</v>
      </c>
      <c r="B77" s="9" t="s">
        <v>1074</v>
      </c>
      <c r="C77" s="9" t="s">
        <v>1177</v>
      </c>
    </row>
    <row r="78" customFormat="false" ht="15" hidden="false" customHeight="false" outlineLevel="0" collapsed="false">
      <c r="A78" s="9" t="s">
        <v>178</v>
      </c>
      <c r="B78" s="9" t="s">
        <v>1074</v>
      </c>
      <c r="C78" s="9" t="s">
        <v>1178</v>
      </c>
    </row>
    <row r="79" customFormat="false" ht="23.85" hidden="false" customHeight="false" outlineLevel="0" collapsed="false">
      <c r="A79" s="9" t="s">
        <v>199</v>
      </c>
      <c r="B79" s="9" t="s">
        <v>1074</v>
      </c>
      <c r="C79" s="9" t="s">
        <v>1238</v>
      </c>
    </row>
    <row r="80" customFormat="false" ht="15" hidden="false" customHeight="false" outlineLevel="0" collapsed="false">
      <c r="A80" s="9" t="s">
        <v>171</v>
      </c>
      <c r="B80" s="9" t="s">
        <v>1074</v>
      </c>
      <c r="C80" s="9" t="s">
        <v>1181</v>
      </c>
    </row>
    <row r="81" customFormat="false" ht="23.85" hidden="false" customHeight="false" outlineLevel="0" collapsed="false">
      <c r="A81" s="9" t="s">
        <v>171</v>
      </c>
      <c r="B81" s="9" t="s">
        <v>1074</v>
      </c>
      <c r="C81" s="9" t="s">
        <v>1239</v>
      </c>
    </row>
    <row r="82" customFormat="false" ht="35.05" hidden="false" customHeight="false" outlineLevel="0" collapsed="false">
      <c r="A82" s="9" t="s">
        <v>171</v>
      </c>
      <c r="B82" s="9" t="s">
        <v>1074</v>
      </c>
      <c r="C82" s="9" t="s">
        <v>1240</v>
      </c>
    </row>
    <row r="83" customFormat="false" ht="15" hidden="false" customHeight="false" outlineLevel="0" collapsed="false">
      <c r="A83" s="9" t="s">
        <v>171</v>
      </c>
      <c r="B83" s="9" t="s">
        <v>1074</v>
      </c>
      <c r="C83" s="9" t="s">
        <v>1182</v>
      </c>
    </row>
    <row r="84" customFormat="false" ht="46.25" hidden="false" customHeight="false" outlineLevel="0" collapsed="false">
      <c r="A84" s="9" t="s">
        <v>171</v>
      </c>
      <c r="B84" s="9" t="s">
        <v>1074</v>
      </c>
      <c r="C84" s="9" t="s">
        <v>1241</v>
      </c>
    </row>
    <row r="85" customFormat="false" ht="15" hidden="false" customHeight="false" outlineLevel="0" collapsed="false">
      <c r="A85" s="9" t="s">
        <v>171</v>
      </c>
      <c r="B85" s="9" t="s">
        <v>1074</v>
      </c>
      <c r="C85" s="9" t="s">
        <v>1242</v>
      </c>
    </row>
    <row r="86" customFormat="false" ht="15" hidden="false" customHeight="false" outlineLevel="0" collapsed="false">
      <c r="A86" s="9" t="s">
        <v>171</v>
      </c>
      <c r="B86" s="9" t="s">
        <v>1074</v>
      </c>
      <c r="C86" s="9" t="s">
        <v>1243</v>
      </c>
    </row>
    <row r="87" customFormat="false" ht="15" hidden="false" customHeight="false" outlineLevel="0" collapsed="false">
      <c r="A87" s="9" t="s">
        <v>171</v>
      </c>
      <c r="B87" s="9" t="s">
        <v>1074</v>
      </c>
      <c r="C87" s="9" t="s">
        <v>1183</v>
      </c>
    </row>
    <row r="88" customFormat="false" ht="23.85" hidden="false" customHeight="false" outlineLevel="0" collapsed="false">
      <c r="A88" s="9" t="s">
        <v>171</v>
      </c>
      <c r="B88" s="9" t="s">
        <v>1074</v>
      </c>
      <c r="C88" s="9" t="s">
        <v>1244</v>
      </c>
    </row>
    <row r="89" customFormat="false" ht="15" hidden="false" customHeight="false" outlineLevel="0" collapsed="false">
      <c r="A89" s="9" t="s">
        <v>171</v>
      </c>
      <c r="B89" s="9" t="s">
        <v>1074</v>
      </c>
      <c r="C89" s="9" t="s">
        <v>1245</v>
      </c>
    </row>
    <row r="90" customFormat="false" ht="15" hidden="false" customHeight="false" outlineLevel="0" collapsed="false">
      <c r="A90" s="9" t="s">
        <v>171</v>
      </c>
      <c r="B90" s="9" t="s">
        <v>1074</v>
      </c>
      <c r="C90" s="9" t="s">
        <v>1246</v>
      </c>
    </row>
    <row r="91" customFormat="false" ht="15" hidden="false" customHeight="false" outlineLevel="0" collapsed="false">
      <c r="A91" s="9" t="s">
        <v>171</v>
      </c>
      <c r="B91" s="9" t="s">
        <v>1074</v>
      </c>
      <c r="C91" s="9" t="s">
        <v>1247</v>
      </c>
    </row>
    <row r="92" customFormat="false" ht="15" hidden="false" customHeight="false" outlineLevel="0" collapsed="false">
      <c r="A92" s="9" t="s">
        <v>220</v>
      </c>
      <c r="B92" s="9" t="s">
        <v>1074</v>
      </c>
      <c r="C92" s="9" t="s">
        <v>1184</v>
      </c>
    </row>
    <row r="93" customFormat="false" ht="15" hidden="false" customHeight="false" outlineLevel="0" collapsed="false">
      <c r="A93" s="9" t="s">
        <v>192</v>
      </c>
      <c r="B93" s="9" t="s">
        <v>1074</v>
      </c>
      <c r="C93" s="9" t="s">
        <v>117</v>
      </c>
    </row>
    <row r="94" customFormat="false" ht="23.85" hidden="false" customHeight="false" outlineLevel="0" collapsed="false">
      <c r="A94" s="9" t="s">
        <v>192</v>
      </c>
      <c r="B94" s="9" t="s">
        <v>1074</v>
      </c>
      <c r="C94" s="9" t="s">
        <v>1248</v>
      </c>
    </row>
    <row r="95" customFormat="false" ht="15" hidden="false" customHeight="false" outlineLevel="0" collapsed="false">
      <c r="A95" s="9" t="s">
        <v>192</v>
      </c>
      <c r="B95" s="9" t="s">
        <v>1074</v>
      </c>
      <c r="C95" s="9" t="s">
        <v>1249</v>
      </c>
    </row>
    <row r="96" customFormat="false" ht="15" hidden="false" customHeight="false" outlineLevel="0" collapsed="false">
      <c r="A96" s="9" t="s">
        <v>213</v>
      </c>
      <c r="B96" s="9" t="s">
        <v>1074</v>
      </c>
      <c r="C96" s="9" t="s">
        <v>81</v>
      </c>
    </row>
    <row r="97" customFormat="false" ht="35.05" hidden="false" customHeight="false" outlineLevel="0" collapsed="false">
      <c r="A97" s="9" t="s">
        <v>213</v>
      </c>
      <c r="B97" s="9" t="s">
        <v>1074</v>
      </c>
      <c r="C97" s="9" t="s">
        <v>1250</v>
      </c>
    </row>
    <row r="98" customFormat="false" ht="15" hidden="false" customHeight="false" outlineLevel="0" collapsed="false">
      <c r="A98" s="9" t="s">
        <v>185</v>
      </c>
      <c r="B98" s="9" t="s">
        <v>1074</v>
      </c>
      <c r="C98" s="9" t="s">
        <v>86</v>
      </c>
    </row>
    <row r="99" customFormat="false" ht="15" hidden="false" customHeight="false" outlineLevel="0" collapsed="false">
      <c r="A99" s="9" t="s">
        <v>185</v>
      </c>
      <c r="B99" s="9" t="s">
        <v>1074</v>
      </c>
      <c r="C99" s="9" t="s">
        <v>1251</v>
      </c>
    </row>
    <row r="100" customFormat="false" ht="15" hidden="false" customHeight="false" outlineLevel="0" collapsed="false">
      <c r="A100" s="9" t="s">
        <v>185</v>
      </c>
      <c r="B100" s="9" t="s">
        <v>1074</v>
      </c>
      <c r="C100" s="9" t="s">
        <v>1185</v>
      </c>
    </row>
    <row r="101" customFormat="false" ht="15" hidden="false" customHeight="false" outlineLevel="0" collapsed="false">
      <c r="A101" s="9" t="s">
        <v>185</v>
      </c>
      <c r="B101" s="9" t="s">
        <v>1074</v>
      </c>
      <c r="C101" s="9" t="s">
        <v>1252</v>
      </c>
    </row>
    <row r="102" customFormat="false" ht="15" hidden="false" customHeight="false" outlineLevel="0" collapsed="false">
      <c r="A102" s="9" t="s">
        <v>185</v>
      </c>
      <c r="B102" s="9" t="s">
        <v>1074</v>
      </c>
      <c r="C102" s="9" t="s">
        <v>1253</v>
      </c>
    </row>
    <row r="103" customFormat="false" ht="15" hidden="false" customHeight="false" outlineLevel="0" collapsed="false">
      <c r="A103" s="9" t="s">
        <v>185</v>
      </c>
      <c r="B103" s="9" t="s">
        <v>1074</v>
      </c>
      <c r="C103" s="9" t="s">
        <v>1186</v>
      </c>
    </row>
    <row r="104" customFormat="false" ht="15" hidden="false" customHeight="false" outlineLevel="0" collapsed="false">
      <c r="A104" s="9" t="s">
        <v>185</v>
      </c>
      <c r="B104" s="9" t="s">
        <v>1074</v>
      </c>
      <c r="C104" s="9" t="s">
        <v>1254</v>
      </c>
    </row>
    <row r="105" customFormat="false" ht="15" hidden="false" customHeight="false" outlineLevel="0" collapsed="false">
      <c r="A105" s="9" t="s">
        <v>185</v>
      </c>
      <c r="B105" s="9" t="s">
        <v>1074</v>
      </c>
      <c r="C105" s="9" t="s">
        <v>1255</v>
      </c>
    </row>
    <row r="106" customFormat="false" ht="23.85" hidden="false" customHeight="false" outlineLevel="0" collapsed="false">
      <c r="A106" s="9" t="s">
        <v>185</v>
      </c>
      <c r="B106" s="9" t="s">
        <v>1074</v>
      </c>
      <c r="C106" s="9" t="s">
        <v>1256</v>
      </c>
    </row>
    <row r="107" customFormat="false" ht="15" hidden="false" customHeight="false" outlineLevel="0" collapsed="false">
      <c r="A107" s="9" t="s">
        <v>185</v>
      </c>
      <c r="B107" s="9" t="s">
        <v>1074</v>
      </c>
      <c r="C107" s="9" t="s">
        <v>1187</v>
      </c>
    </row>
    <row r="108" customFormat="false" ht="15" hidden="false" customHeight="false" outlineLevel="0" collapsed="false">
      <c r="A108" s="9" t="s">
        <v>202</v>
      </c>
      <c r="B108" s="9" t="s">
        <v>1074</v>
      </c>
      <c r="C108" s="9" t="s">
        <v>90</v>
      </c>
    </row>
    <row r="109" customFormat="false" ht="35.05" hidden="false" customHeight="false" outlineLevel="0" collapsed="false">
      <c r="A109" s="9" t="s">
        <v>202</v>
      </c>
      <c r="B109" s="9" t="s">
        <v>1074</v>
      </c>
      <c r="C109" s="9" t="s">
        <v>1257</v>
      </c>
    </row>
    <row r="110" customFormat="false" ht="15" hidden="false" customHeight="false" outlineLevel="0" collapsed="false">
      <c r="A110" s="9" t="s">
        <v>202</v>
      </c>
      <c r="B110" s="9" t="s">
        <v>1074</v>
      </c>
      <c r="C110" s="9" t="s">
        <v>1188</v>
      </c>
    </row>
    <row r="111" customFormat="false" ht="15" hidden="false" customHeight="false" outlineLevel="0" collapsed="false">
      <c r="A111" s="9" t="s">
        <v>202</v>
      </c>
      <c r="B111" s="9" t="s">
        <v>1074</v>
      </c>
      <c r="C111" s="9" t="s">
        <v>1258</v>
      </c>
    </row>
    <row r="112" customFormat="false" ht="15" hidden="false" customHeight="false" outlineLevel="0" collapsed="false">
      <c r="A112" s="9" t="s">
        <v>214</v>
      </c>
      <c r="B112" s="9" t="s">
        <v>1074</v>
      </c>
      <c r="C112" s="9" t="s">
        <v>95</v>
      </c>
    </row>
    <row r="113" customFormat="false" ht="23.85" hidden="false" customHeight="false" outlineLevel="0" collapsed="false">
      <c r="A113" s="9" t="s">
        <v>214</v>
      </c>
      <c r="B113" s="9" t="s">
        <v>1074</v>
      </c>
      <c r="C113" s="9" t="s">
        <v>1259</v>
      </c>
    </row>
    <row r="114" customFormat="false" ht="15" hidden="false" customHeight="false" outlineLevel="0" collapsed="false">
      <c r="A114" s="9" t="s">
        <v>187</v>
      </c>
      <c r="B114" s="9" t="s">
        <v>1074</v>
      </c>
      <c r="C114" s="9" t="s">
        <v>75</v>
      </c>
    </row>
    <row r="115" customFormat="false" ht="15" hidden="false" customHeight="false" outlineLevel="0" collapsed="false">
      <c r="A115" s="9" t="s">
        <v>187</v>
      </c>
      <c r="B115" s="9" t="s">
        <v>1074</v>
      </c>
      <c r="C115" s="9" t="s">
        <v>1189</v>
      </c>
    </row>
    <row r="116" customFormat="false" ht="23.85" hidden="false" customHeight="false" outlineLevel="0" collapsed="false">
      <c r="A116" s="9" t="s">
        <v>187</v>
      </c>
      <c r="B116" s="9" t="s">
        <v>1074</v>
      </c>
      <c r="C116" s="9" t="s">
        <v>1260</v>
      </c>
    </row>
    <row r="117" customFormat="false" ht="15" hidden="false" customHeight="false" outlineLevel="0" collapsed="false">
      <c r="A117" s="9" t="s">
        <v>187</v>
      </c>
      <c r="B117" s="9" t="s">
        <v>1074</v>
      </c>
      <c r="C117" s="9" t="s">
        <v>1190</v>
      </c>
    </row>
    <row r="118" customFormat="false" ht="23.85" hidden="false" customHeight="false" outlineLevel="0" collapsed="false">
      <c r="A118" s="9" t="s">
        <v>187</v>
      </c>
      <c r="B118" s="9" t="s">
        <v>1074</v>
      </c>
      <c r="C118" s="9" t="s">
        <v>1261</v>
      </c>
    </row>
    <row r="119" customFormat="false" ht="15" hidden="false" customHeight="false" outlineLevel="0" collapsed="false">
      <c r="A119" s="9" t="s">
        <v>187</v>
      </c>
      <c r="B119" s="9" t="s">
        <v>1074</v>
      </c>
      <c r="C119" s="9" t="s">
        <v>1262</v>
      </c>
    </row>
    <row r="120" customFormat="false" ht="15" hidden="false" customHeight="false" outlineLevel="0" collapsed="false">
      <c r="A120" s="9" t="s">
        <v>187</v>
      </c>
      <c r="B120" s="9" t="s">
        <v>1074</v>
      </c>
      <c r="C120" s="9" t="s">
        <v>1263</v>
      </c>
    </row>
    <row r="121" customFormat="false" ht="15" hidden="false" customHeight="false" outlineLevel="0" collapsed="false">
      <c r="A121" s="9" t="s">
        <v>187</v>
      </c>
      <c r="B121" s="9" t="s">
        <v>1074</v>
      </c>
      <c r="C121" s="9" t="s">
        <v>1191</v>
      </c>
    </row>
    <row r="122" customFormat="false" ht="15" hidden="false" customHeight="false" outlineLevel="0" collapsed="false">
      <c r="A122" s="9" t="s">
        <v>187</v>
      </c>
      <c r="B122" s="9" t="s">
        <v>1074</v>
      </c>
      <c r="C122" s="9" t="s">
        <v>1264</v>
      </c>
    </row>
    <row r="123" customFormat="false" ht="15" hidden="false" customHeight="false" outlineLevel="0" collapsed="false">
      <c r="A123" s="9" t="s">
        <v>187</v>
      </c>
      <c r="B123" s="9" t="s">
        <v>1074</v>
      </c>
      <c r="C123" s="9" t="s">
        <v>1265</v>
      </c>
    </row>
    <row r="124" customFormat="false" ht="23.85" hidden="false" customHeight="false" outlineLevel="0" collapsed="false">
      <c r="A124" s="9" t="s">
        <v>187</v>
      </c>
      <c r="B124" s="9" t="s">
        <v>1074</v>
      </c>
      <c r="C124" s="9" t="s">
        <v>1266</v>
      </c>
    </row>
    <row r="125" customFormat="false" ht="15" hidden="false" customHeight="false" outlineLevel="0" collapsed="false">
      <c r="A125" s="9" t="s">
        <v>215</v>
      </c>
      <c r="B125" s="9" t="s">
        <v>1074</v>
      </c>
      <c r="C125" s="9" t="s">
        <v>100</v>
      </c>
    </row>
    <row r="126" customFormat="false" ht="23.85" hidden="false" customHeight="false" outlineLevel="0" collapsed="false">
      <c r="A126" s="9" t="s">
        <v>215</v>
      </c>
      <c r="B126" s="9" t="s">
        <v>1074</v>
      </c>
      <c r="C126" s="9" t="s">
        <v>1267</v>
      </c>
    </row>
    <row r="127" customFormat="false" ht="15" hidden="false" customHeight="false" outlineLevel="0" collapsed="false">
      <c r="A127" s="9" t="s">
        <v>216</v>
      </c>
      <c r="B127" s="9" t="s">
        <v>1074</v>
      </c>
      <c r="C127" s="9" t="s">
        <v>105</v>
      </c>
    </row>
    <row r="128" customFormat="false" ht="23.85" hidden="false" customHeight="false" outlineLevel="0" collapsed="false">
      <c r="A128" s="9" t="s">
        <v>216</v>
      </c>
      <c r="B128" s="9" t="s">
        <v>1074</v>
      </c>
      <c r="C128" s="9" t="s">
        <v>1268</v>
      </c>
    </row>
    <row r="129" customFormat="false" ht="15" hidden="false" customHeight="false" outlineLevel="0" collapsed="false">
      <c r="A129" s="9" t="s">
        <v>268</v>
      </c>
      <c r="B129" s="9" t="s">
        <v>1074</v>
      </c>
      <c r="C129" s="9" t="s">
        <v>1269</v>
      </c>
    </row>
    <row r="130" customFormat="false" ht="15" hidden="false" customHeight="false" outlineLevel="0" collapsed="false">
      <c r="A130" s="9" t="s">
        <v>268</v>
      </c>
      <c r="B130" s="9" t="s">
        <v>1074</v>
      </c>
      <c r="C130" s="9" t="s">
        <v>1192</v>
      </c>
    </row>
    <row r="131" customFormat="false" ht="15" hidden="false" customHeight="false" outlineLevel="0" collapsed="false">
      <c r="A131" s="9" t="s">
        <v>268</v>
      </c>
      <c r="B131" s="9" t="s">
        <v>1074</v>
      </c>
      <c r="C131" s="9" t="s">
        <v>1270</v>
      </c>
    </row>
    <row r="132" customFormat="false" ht="15" hidden="false" customHeight="false" outlineLevel="0" collapsed="false">
      <c r="A132" s="9" t="s">
        <v>268</v>
      </c>
      <c r="B132" s="9" t="s">
        <v>1074</v>
      </c>
      <c r="C132" s="9" t="s">
        <v>1271</v>
      </c>
    </row>
    <row r="133" customFormat="false" ht="15" hidden="false" customHeight="false" outlineLevel="0" collapsed="false">
      <c r="A133" s="9" t="s">
        <v>271</v>
      </c>
      <c r="B133" s="9" t="s">
        <v>1074</v>
      </c>
      <c r="C133" s="9" t="s">
        <v>1272</v>
      </c>
    </row>
    <row r="134" customFormat="false" ht="15" hidden="false" customHeight="false" outlineLevel="0" collapsed="false">
      <c r="A134" s="9" t="s">
        <v>271</v>
      </c>
      <c r="B134" s="9" t="s">
        <v>1074</v>
      </c>
      <c r="C134" s="9" t="s">
        <v>1273</v>
      </c>
    </row>
    <row r="135" customFormat="false" ht="15" hidden="false" customHeight="false" outlineLevel="0" collapsed="false">
      <c r="A135" s="9" t="s">
        <v>196</v>
      </c>
      <c r="B135" s="9" t="s">
        <v>1074</v>
      </c>
      <c r="C135" s="9" t="s">
        <v>1274</v>
      </c>
    </row>
    <row r="136" customFormat="false" ht="15" hidden="false" customHeight="false" outlineLevel="0" collapsed="false">
      <c r="A136" s="9" t="s">
        <v>196</v>
      </c>
      <c r="B136" s="9" t="s">
        <v>1074</v>
      </c>
      <c r="C136" s="9" t="s">
        <v>1275</v>
      </c>
    </row>
    <row r="137" customFormat="false" ht="15" hidden="false" customHeight="false" outlineLevel="0" collapsed="false">
      <c r="A137" s="9" t="s">
        <v>200</v>
      </c>
      <c r="B137" s="9" t="s">
        <v>1074</v>
      </c>
      <c r="C137" s="9" t="s">
        <v>1276</v>
      </c>
    </row>
    <row r="138" customFormat="false" ht="15" hidden="false" customHeight="false" outlineLevel="0" collapsed="false">
      <c r="A138" s="9" t="s">
        <v>174</v>
      </c>
      <c r="B138" s="9" t="s">
        <v>1074</v>
      </c>
      <c r="C138" s="9" t="s">
        <v>1277</v>
      </c>
    </row>
    <row r="139" customFormat="false" ht="35.05" hidden="false" customHeight="false" outlineLevel="0" collapsed="false">
      <c r="A139" s="9" t="s">
        <v>174</v>
      </c>
      <c r="B139" s="9" t="s">
        <v>1074</v>
      </c>
      <c r="C139" s="9" t="s">
        <v>1278</v>
      </c>
    </row>
    <row r="140" customFormat="false" ht="15" hidden="false" customHeight="false" outlineLevel="0" collapsed="false">
      <c r="A140" s="9" t="s">
        <v>174</v>
      </c>
      <c r="B140" s="9" t="s">
        <v>1074</v>
      </c>
      <c r="C140" s="9" t="s">
        <v>1279</v>
      </c>
    </row>
    <row r="141" customFormat="false" ht="15" hidden="false" customHeight="false" outlineLevel="0" collapsed="false">
      <c r="A141" s="9" t="s">
        <v>174</v>
      </c>
      <c r="B141" s="9" t="s">
        <v>1074</v>
      </c>
      <c r="C141" s="9" t="s">
        <v>1280</v>
      </c>
    </row>
    <row r="142" customFormat="false" ht="15" hidden="false" customHeight="false" outlineLevel="0" collapsed="false">
      <c r="A142" s="9" t="s">
        <v>174</v>
      </c>
      <c r="B142" s="9" t="s">
        <v>1074</v>
      </c>
      <c r="C142" s="9" t="s">
        <v>1281</v>
      </c>
    </row>
    <row r="143" customFormat="false" ht="15" hidden="false" customHeight="false" outlineLevel="0" collapsed="false">
      <c r="A143" s="9" t="s">
        <v>174</v>
      </c>
      <c r="B143" s="9" t="s">
        <v>1074</v>
      </c>
      <c r="C143" s="9" t="s">
        <v>1282</v>
      </c>
    </row>
    <row r="144" customFormat="false" ht="15" hidden="false" customHeight="false" outlineLevel="0" collapsed="false">
      <c r="A144" s="9" t="s">
        <v>174</v>
      </c>
      <c r="B144" s="9" t="s">
        <v>1074</v>
      </c>
      <c r="C144" s="9" t="s">
        <v>1283</v>
      </c>
    </row>
    <row r="145" customFormat="false" ht="15" hidden="false" customHeight="false" outlineLevel="0" collapsed="false">
      <c r="A145" s="9" t="s">
        <v>174</v>
      </c>
      <c r="B145" s="9" t="s">
        <v>1074</v>
      </c>
      <c r="C145" s="9" t="s">
        <v>1284</v>
      </c>
    </row>
    <row r="146" customFormat="false" ht="15" hidden="false" customHeight="false" outlineLevel="0" collapsed="false">
      <c r="A146" s="9" t="s">
        <v>174</v>
      </c>
      <c r="B146" s="9" t="s">
        <v>1074</v>
      </c>
      <c r="C146" s="9" t="s">
        <v>1285</v>
      </c>
    </row>
    <row r="147" customFormat="false" ht="15" hidden="false" customHeight="false" outlineLevel="0" collapsed="false">
      <c r="A147" s="9" t="s">
        <v>174</v>
      </c>
      <c r="B147" s="9" t="s">
        <v>1074</v>
      </c>
      <c r="C147" s="9" t="s">
        <v>1286</v>
      </c>
    </row>
    <row r="148" customFormat="false" ht="15" hidden="false" customHeight="false" outlineLevel="0" collapsed="false">
      <c r="A148" s="9" t="s">
        <v>174</v>
      </c>
      <c r="B148" s="9" t="s">
        <v>1074</v>
      </c>
      <c r="C148" s="9" t="s">
        <v>1051</v>
      </c>
    </row>
    <row r="149" customFormat="false" ht="15" hidden="false" customHeight="false" outlineLevel="0" collapsed="false">
      <c r="A149" s="9" t="s">
        <v>174</v>
      </c>
      <c r="B149" s="9" t="s">
        <v>1074</v>
      </c>
      <c r="C149" s="9" t="s">
        <v>1287</v>
      </c>
    </row>
    <row r="150" customFormat="false" ht="15" hidden="false" customHeight="false" outlineLevel="0" collapsed="false">
      <c r="A150" s="9" t="s">
        <v>174</v>
      </c>
      <c r="B150" s="9" t="s">
        <v>1074</v>
      </c>
      <c r="C150" s="9" t="s">
        <v>1288</v>
      </c>
    </row>
    <row r="151" customFormat="false" ht="15" hidden="false" customHeight="false" outlineLevel="0" collapsed="false">
      <c r="A151" s="9" t="s">
        <v>174</v>
      </c>
      <c r="B151" s="9" t="s">
        <v>1074</v>
      </c>
      <c r="C151" s="9" t="s">
        <v>1289</v>
      </c>
    </row>
    <row r="152" customFormat="false" ht="15" hidden="false" customHeight="false" outlineLevel="0" collapsed="false">
      <c r="A152" s="9" t="s">
        <v>174</v>
      </c>
      <c r="B152" s="9" t="s">
        <v>1074</v>
      </c>
      <c r="C152" s="9" t="s">
        <v>1290</v>
      </c>
    </row>
    <row r="153" customFormat="false" ht="15" hidden="false" customHeight="false" outlineLevel="0" collapsed="false">
      <c r="A153" s="9" t="s">
        <v>174</v>
      </c>
      <c r="B153" s="9" t="s">
        <v>1074</v>
      </c>
      <c r="C153" s="9" t="s">
        <v>1291</v>
      </c>
    </row>
    <row r="154" customFormat="false" ht="15" hidden="false" customHeight="false" outlineLevel="0" collapsed="false">
      <c r="A154" s="9" t="s">
        <v>183</v>
      </c>
      <c r="B154" s="9" t="s">
        <v>1074</v>
      </c>
      <c r="C154" s="9" t="s">
        <v>1292</v>
      </c>
    </row>
    <row r="155" customFormat="false" ht="15" hidden="false" customHeight="false" outlineLevel="0" collapsed="false">
      <c r="A155" s="9" t="s">
        <v>183</v>
      </c>
      <c r="B155" s="9" t="s">
        <v>1074</v>
      </c>
      <c r="C155" s="9" t="s">
        <v>1293</v>
      </c>
    </row>
    <row r="156" customFormat="false" ht="15" hidden="false" customHeight="false" outlineLevel="0" collapsed="false">
      <c r="A156" s="9" t="s">
        <v>183</v>
      </c>
      <c r="B156" s="9" t="s">
        <v>1074</v>
      </c>
      <c r="C156" s="9" t="s">
        <v>111</v>
      </c>
    </row>
    <row r="157" customFormat="false" ht="15" hidden="false" customHeight="false" outlineLevel="0" collapsed="false">
      <c r="A157" s="9" t="s">
        <v>183</v>
      </c>
      <c r="B157" s="9" t="s">
        <v>1074</v>
      </c>
      <c r="C157" s="9" t="s">
        <v>1294</v>
      </c>
    </row>
    <row r="158" customFormat="false" ht="15" hidden="false" customHeight="false" outlineLevel="0" collapsed="false">
      <c r="A158" s="9" t="s">
        <v>189</v>
      </c>
      <c r="B158" s="9" t="s">
        <v>1074</v>
      </c>
      <c r="C158" s="9" t="s">
        <v>1198</v>
      </c>
    </row>
    <row r="159" customFormat="false" ht="15" hidden="false" customHeight="false" outlineLevel="0" collapsed="false">
      <c r="A159" s="9" t="s">
        <v>189</v>
      </c>
      <c r="B159" s="9" t="s">
        <v>1074</v>
      </c>
      <c r="C159" s="9" t="s">
        <v>1295</v>
      </c>
    </row>
    <row r="160" customFormat="false" ht="15" hidden="false" customHeight="false" outlineLevel="0" collapsed="false">
      <c r="A160" s="9" t="s">
        <v>189</v>
      </c>
      <c r="B160" s="9" t="s">
        <v>1074</v>
      </c>
      <c r="C160" s="9" t="s">
        <v>1296</v>
      </c>
    </row>
    <row r="161" customFormat="false" ht="15" hidden="false" customHeight="false" outlineLevel="0" collapsed="false">
      <c r="A161" s="9" t="s">
        <v>189</v>
      </c>
      <c r="B161" s="9" t="s">
        <v>1074</v>
      </c>
      <c r="C161" s="9" t="s">
        <v>1297</v>
      </c>
    </row>
    <row r="162" customFormat="false" ht="15" hidden="false" customHeight="false" outlineLevel="0" collapsed="false">
      <c r="A162" s="9" t="s">
        <v>189</v>
      </c>
      <c r="B162" s="9" t="s">
        <v>1074</v>
      </c>
      <c r="C162" s="9" t="s">
        <v>1298</v>
      </c>
    </row>
    <row r="163" customFormat="false" ht="15" hidden="false" customHeight="false" outlineLevel="0" collapsed="false">
      <c r="A163" s="9" t="s">
        <v>177</v>
      </c>
      <c r="B163" s="9" t="s">
        <v>1074</v>
      </c>
      <c r="C163" s="9" t="s">
        <v>1299</v>
      </c>
    </row>
    <row r="164" customFormat="false" ht="15" hidden="false" customHeight="false" outlineLevel="0" collapsed="false">
      <c r="A164" s="9" t="s">
        <v>177</v>
      </c>
      <c r="B164" s="9" t="s">
        <v>1074</v>
      </c>
      <c r="C164" s="9" t="s">
        <v>1300</v>
      </c>
    </row>
    <row r="165" customFormat="false" ht="15" hidden="false" customHeight="false" outlineLevel="0" collapsed="false">
      <c r="A165" s="9" t="s">
        <v>177</v>
      </c>
      <c r="B165" s="9" t="s">
        <v>1074</v>
      </c>
      <c r="C165" s="9" t="s">
        <v>1301</v>
      </c>
    </row>
    <row r="166" customFormat="false" ht="15" hidden="false" customHeight="false" outlineLevel="0" collapsed="false">
      <c r="A166" s="9" t="s">
        <v>177</v>
      </c>
      <c r="B166" s="9" t="s">
        <v>1074</v>
      </c>
      <c r="C166" s="9" t="s">
        <v>1302</v>
      </c>
    </row>
    <row r="167" customFormat="false" ht="23.85" hidden="false" customHeight="false" outlineLevel="0" collapsed="false">
      <c r="A167" s="9" t="s">
        <v>177</v>
      </c>
      <c r="B167" s="9" t="s">
        <v>1074</v>
      </c>
      <c r="C167" s="9" t="s">
        <v>1303</v>
      </c>
    </row>
    <row r="168" customFormat="false" ht="15" hidden="false" customHeight="false" outlineLevel="0" collapsed="false">
      <c r="A168" s="9" t="s">
        <v>177</v>
      </c>
      <c r="B168" s="9" t="s">
        <v>1074</v>
      </c>
      <c r="C168" s="9" t="s">
        <v>1304</v>
      </c>
    </row>
    <row r="169" customFormat="false" ht="15" hidden="false" customHeight="false" outlineLevel="0" collapsed="false">
      <c r="A169" s="9" t="s">
        <v>177</v>
      </c>
      <c r="B169" s="9" t="s">
        <v>1074</v>
      </c>
      <c r="C169" s="9" t="s">
        <v>1305</v>
      </c>
    </row>
    <row r="170" customFormat="false" ht="15" hidden="false" customHeight="false" outlineLevel="0" collapsed="false">
      <c r="A170" s="9" t="s">
        <v>179</v>
      </c>
      <c r="B170" s="9" t="s">
        <v>1074</v>
      </c>
      <c r="C170" s="9" t="s">
        <v>1306</v>
      </c>
    </row>
    <row r="171" customFormat="false" ht="15" hidden="false" customHeight="false" outlineLevel="0" collapsed="false">
      <c r="A171" s="9" t="s">
        <v>179</v>
      </c>
      <c r="B171" s="9" t="s">
        <v>1074</v>
      </c>
      <c r="C171" s="9" t="s">
        <v>1307</v>
      </c>
    </row>
    <row r="172" customFormat="false" ht="15" hidden="false" customHeight="false" outlineLevel="0" collapsed="false">
      <c r="A172" s="9" t="s">
        <v>179</v>
      </c>
      <c r="B172" s="9" t="s">
        <v>1074</v>
      </c>
      <c r="C172" s="9" t="s">
        <v>1308</v>
      </c>
    </row>
    <row r="173" customFormat="false" ht="15" hidden="false" customHeight="false" outlineLevel="0" collapsed="false">
      <c r="A173" s="9" t="s">
        <v>188</v>
      </c>
      <c r="B173" s="9" t="s">
        <v>1074</v>
      </c>
      <c r="C173" s="9" t="s">
        <v>1309</v>
      </c>
    </row>
    <row r="174" customFormat="false" ht="15" hidden="false" customHeight="false" outlineLevel="0" collapsed="false">
      <c r="A174" s="9" t="s">
        <v>188</v>
      </c>
      <c r="B174" s="9" t="s">
        <v>1074</v>
      </c>
      <c r="C174" s="9" t="s">
        <v>1310</v>
      </c>
    </row>
    <row r="175" customFormat="false" ht="15" hidden="false" customHeight="false" outlineLevel="0" collapsed="false">
      <c r="A175" s="9" t="s">
        <v>188</v>
      </c>
      <c r="B175" s="9" t="s">
        <v>1074</v>
      </c>
      <c r="C175" s="9" t="s">
        <v>1311</v>
      </c>
    </row>
    <row r="176" customFormat="false" ht="15" hidden="false" customHeight="false" outlineLevel="0" collapsed="false">
      <c r="A176" s="9" t="s">
        <v>232</v>
      </c>
      <c r="B176" s="9" t="s">
        <v>1074</v>
      </c>
      <c r="C176" s="9" t="s">
        <v>1312</v>
      </c>
    </row>
    <row r="177" customFormat="false" ht="15" hidden="false" customHeight="false" outlineLevel="0" collapsed="false">
      <c r="A177" s="9" t="s">
        <v>232</v>
      </c>
      <c r="B177" s="9" t="s">
        <v>1074</v>
      </c>
      <c r="C177" s="9" t="s">
        <v>1313</v>
      </c>
    </row>
    <row r="178" customFormat="false" ht="15" hidden="false" customHeight="false" outlineLevel="0" collapsed="false">
      <c r="A178" s="9" t="s">
        <v>163</v>
      </c>
      <c r="B178" s="9" t="s">
        <v>1074</v>
      </c>
      <c r="C178" s="9" t="s">
        <v>1314</v>
      </c>
    </row>
    <row r="179" customFormat="false" ht="15" hidden="false" customHeight="false" outlineLevel="0" collapsed="false">
      <c r="A179" s="9" t="s">
        <v>186</v>
      </c>
      <c r="B179" s="9" t="s">
        <v>1074</v>
      </c>
      <c r="C179" s="9" t="s">
        <v>1315</v>
      </c>
    </row>
    <row r="180" customFormat="false" ht="15" hidden="false" customHeight="false" outlineLevel="0" collapsed="false">
      <c r="A180" s="9" t="s">
        <v>207</v>
      </c>
      <c r="B180" s="9" t="s">
        <v>1074</v>
      </c>
      <c r="C180" s="9" t="s">
        <v>1316</v>
      </c>
    </row>
    <row r="181" customFormat="false" ht="15" hidden="false" customHeight="false" outlineLevel="0" collapsed="false">
      <c r="A181" s="9" t="s">
        <v>161</v>
      </c>
      <c r="B181" s="9" t="s">
        <v>1074</v>
      </c>
      <c r="C181" s="9" t="s">
        <v>1317</v>
      </c>
    </row>
    <row r="182" customFormat="false" ht="23.85" hidden="false" customHeight="false" outlineLevel="0" collapsed="false">
      <c r="A182" s="9" t="s">
        <v>161</v>
      </c>
      <c r="B182" s="9" t="s">
        <v>1074</v>
      </c>
      <c r="C182" s="9" t="s">
        <v>1318</v>
      </c>
    </row>
    <row r="183" customFormat="false" ht="15" hidden="false" customHeight="false" outlineLevel="0" collapsed="false">
      <c r="A183" s="9" t="s">
        <v>161</v>
      </c>
      <c r="B183" s="9" t="s">
        <v>1074</v>
      </c>
      <c r="C183" s="9" t="s">
        <v>1319</v>
      </c>
    </row>
    <row r="184" customFormat="false" ht="15" hidden="false" customHeight="false" outlineLevel="0" collapsed="false">
      <c r="A184" s="9" t="s">
        <v>161</v>
      </c>
      <c r="B184" s="9" t="s">
        <v>1074</v>
      </c>
      <c r="C184" s="9" t="s">
        <v>1320</v>
      </c>
    </row>
    <row r="185" customFormat="false" ht="15" hidden="false" customHeight="false" outlineLevel="0" collapsed="false">
      <c r="A185" s="9" t="s">
        <v>161</v>
      </c>
      <c r="B185" s="9" t="s">
        <v>1074</v>
      </c>
      <c r="C185" s="9" t="s">
        <v>1321</v>
      </c>
    </row>
    <row r="186" customFormat="false" ht="15" hidden="false" customHeight="false" outlineLevel="0" collapsed="false">
      <c r="A186" s="9" t="s">
        <v>161</v>
      </c>
      <c r="B186" s="9" t="s">
        <v>1074</v>
      </c>
      <c r="C186" s="9" t="s">
        <v>1322</v>
      </c>
    </row>
    <row r="187" customFormat="false" ht="15" hidden="false" customHeight="false" outlineLevel="0" collapsed="false">
      <c r="A187" s="9" t="s">
        <v>161</v>
      </c>
      <c r="B187" s="9" t="s">
        <v>1074</v>
      </c>
      <c r="C187" s="9" t="s">
        <v>1199</v>
      </c>
    </row>
    <row r="188" customFormat="false" ht="15" hidden="false" customHeight="false" outlineLevel="0" collapsed="false">
      <c r="A188" s="9" t="s">
        <v>161</v>
      </c>
      <c r="B188" s="9" t="s">
        <v>1074</v>
      </c>
      <c r="C188" s="9" t="s">
        <v>1323</v>
      </c>
    </row>
    <row r="189" customFormat="false" ht="15" hidden="false" customHeight="false" outlineLevel="0" collapsed="false">
      <c r="A189" s="9" t="s">
        <v>211</v>
      </c>
      <c r="B189" s="9" t="s">
        <v>1074</v>
      </c>
      <c r="C189" s="9" t="s">
        <v>1324</v>
      </c>
    </row>
    <row r="190" customFormat="false" ht="15" hidden="false" customHeight="false" outlineLevel="0" collapsed="false">
      <c r="A190" s="9" t="s">
        <v>175</v>
      </c>
      <c r="B190" s="9" t="s">
        <v>1074</v>
      </c>
      <c r="C190" s="9" t="s">
        <v>1325</v>
      </c>
    </row>
    <row r="191" customFormat="false" ht="15" hidden="false" customHeight="false" outlineLevel="0" collapsed="false">
      <c r="A191" s="9" t="s">
        <v>175</v>
      </c>
      <c r="B191" s="9" t="s">
        <v>1074</v>
      </c>
      <c r="C191" s="9" t="s">
        <v>1200</v>
      </c>
    </row>
    <row r="192" customFormat="false" ht="15" hidden="false" customHeight="false" outlineLevel="0" collapsed="false">
      <c r="A192" s="9" t="s">
        <v>175</v>
      </c>
      <c r="B192" s="9" t="s">
        <v>1074</v>
      </c>
      <c r="C192" s="9" t="s">
        <v>1326</v>
      </c>
    </row>
    <row r="193" customFormat="false" ht="15" hidden="false" customHeight="false" outlineLevel="0" collapsed="false">
      <c r="A193" s="9" t="s">
        <v>175</v>
      </c>
      <c r="B193" s="9" t="s">
        <v>1074</v>
      </c>
      <c r="C193" s="9" t="s">
        <v>1327</v>
      </c>
    </row>
    <row r="194" customFormat="false" ht="15" hidden="false" customHeight="false" outlineLevel="0" collapsed="false">
      <c r="A194" s="9" t="s">
        <v>175</v>
      </c>
      <c r="B194" s="9" t="s">
        <v>1074</v>
      </c>
      <c r="C194" s="9" t="s">
        <v>1328</v>
      </c>
    </row>
    <row r="195" customFormat="false" ht="15" hidden="false" customHeight="false" outlineLevel="0" collapsed="false">
      <c r="A195" s="9" t="s">
        <v>175</v>
      </c>
      <c r="B195" s="9" t="s">
        <v>1074</v>
      </c>
      <c r="C195" s="9" t="s">
        <v>1329</v>
      </c>
    </row>
    <row r="196" customFormat="false" ht="15" hidden="false" customHeight="false" outlineLevel="0" collapsed="false">
      <c r="A196" s="9" t="s">
        <v>175</v>
      </c>
      <c r="B196" s="9" t="s">
        <v>1074</v>
      </c>
      <c r="C196" s="9" t="s">
        <v>1330</v>
      </c>
    </row>
    <row r="197" customFormat="false" ht="15" hidden="false" customHeight="false" outlineLevel="0" collapsed="false">
      <c r="A197" s="9" t="s">
        <v>175</v>
      </c>
      <c r="B197" s="9" t="s">
        <v>1074</v>
      </c>
      <c r="C197" s="9" t="s">
        <v>1331</v>
      </c>
    </row>
    <row r="198" customFormat="false" ht="15" hidden="false" customHeight="false" outlineLevel="0" collapsed="false">
      <c r="A198" s="9" t="s">
        <v>175</v>
      </c>
      <c r="B198" s="9" t="s">
        <v>1074</v>
      </c>
      <c r="C198" s="9" t="s">
        <v>1332</v>
      </c>
    </row>
    <row r="199" customFormat="false" ht="15" hidden="false" customHeight="false" outlineLevel="0" collapsed="false">
      <c r="A199" s="9" t="s">
        <v>175</v>
      </c>
      <c r="B199" s="9" t="s">
        <v>1074</v>
      </c>
      <c r="C199" s="9" t="s">
        <v>1333</v>
      </c>
    </row>
    <row r="200" customFormat="false" ht="15" hidden="false" customHeight="false" outlineLevel="0" collapsed="false">
      <c r="A200" s="9" t="s">
        <v>175</v>
      </c>
      <c r="B200" s="9" t="s">
        <v>1074</v>
      </c>
      <c r="C200" s="9" t="s">
        <v>1334</v>
      </c>
    </row>
    <row r="201" customFormat="false" ht="15" hidden="false" customHeight="false" outlineLevel="0" collapsed="false">
      <c r="A201" s="9" t="s">
        <v>175</v>
      </c>
      <c r="B201" s="9" t="s">
        <v>1074</v>
      </c>
      <c r="C201" s="9" t="s">
        <v>1335</v>
      </c>
    </row>
    <row r="202" customFormat="false" ht="15" hidden="false" customHeight="false" outlineLevel="0" collapsed="false">
      <c r="A202" s="9" t="s">
        <v>175</v>
      </c>
      <c r="B202" s="9" t="s">
        <v>1074</v>
      </c>
      <c r="C202" s="9" t="s">
        <v>1336</v>
      </c>
    </row>
    <row r="203" customFormat="false" ht="15" hidden="false" customHeight="false" outlineLevel="0" collapsed="false">
      <c r="A203" s="9" t="s">
        <v>175</v>
      </c>
      <c r="B203" s="9" t="s">
        <v>1074</v>
      </c>
      <c r="C203" s="9" t="s">
        <v>1337</v>
      </c>
    </row>
    <row r="204" customFormat="false" ht="15" hidden="false" customHeight="false" outlineLevel="0" collapsed="false">
      <c r="A204" s="9" t="s">
        <v>175</v>
      </c>
      <c r="B204" s="9" t="s">
        <v>1074</v>
      </c>
      <c r="C204" s="9" t="s">
        <v>1338</v>
      </c>
    </row>
    <row r="205" customFormat="false" ht="15" hidden="false" customHeight="false" outlineLevel="0" collapsed="false">
      <c r="A205" s="9" t="s">
        <v>175</v>
      </c>
      <c r="B205" s="9" t="s">
        <v>1074</v>
      </c>
      <c r="C205" s="9" t="s">
        <v>1339</v>
      </c>
    </row>
    <row r="206" customFormat="false" ht="15" hidden="false" customHeight="false" outlineLevel="0" collapsed="false">
      <c r="A206" s="9" t="s">
        <v>175</v>
      </c>
      <c r="B206" s="9" t="s">
        <v>1074</v>
      </c>
      <c r="C206" s="9" t="s">
        <v>1340</v>
      </c>
    </row>
    <row r="207" customFormat="false" ht="15" hidden="false" customHeight="false" outlineLevel="0" collapsed="false">
      <c r="A207" s="9" t="s">
        <v>175</v>
      </c>
      <c r="B207" s="9" t="s">
        <v>1074</v>
      </c>
      <c r="C207" s="9" t="s">
        <v>1215</v>
      </c>
    </row>
    <row r="208" customFormat="false" ht="15" hidden="false" customHeight="false" outlineLevel="0" collapsed="false">
      <c r="A208" s="9" t="s">
        <v>175</v>
      </c>
      <c r="B208" s="9" t="s">
        <v>1074</v>
      </c>
      <c r="C208" s="9" t="s">
        <v>1341</v>
      </c>
    </row>
    <row r="209" customFormat="false" ht="15" hidden="false" customHeight="false" outlineLevel="0" collapsed="false">
      <c r="A209" s="9" t="s">
        <v>175</v>
      </c>
      <c r="B209" s="9" t="s">
        <v>1074</v>
      </c>
      <c r="C209" s="9" t="s">
        <v>1342</v>
      </c>
    </row>
    <row r="210" customFormat="false" ht="15" hidden="false" customHeight="false" outlineLevel="0" collapsed="false">
      <c r="A210" s="9" t="s">
        <v>175</v>
      </c>
      <c r="B210" s="9" t="s">
        <v>1074</v>
      </c>
      <c r="C210" s="9" t="s">
        <v>1343</v>
      </c>
    </row>
    <row r="211" customFormat="false" ht="15" hidden="false" customHeight="false" outlineLevel="0" collapsed="false">
      <c r="A211" s="9" t="s">
        <v>175</v>
      </c>
      <c r="B211" s="9" t="s">
        <v>1074</v>
      </c>
      <c r="C211" s="9" t="s">
        <v>1344</v>
      </c>
    </row>
    <row r="212" customFormat="false" ht="15" hidden="false" customHeight="false" outlineLevel="0" collapsed="false">
      <c r="A212" s="9" t="s">
        <v>181</v>
      </c>
      <c r="B212" s="9" t="s">
        <v>1074</v>
      </c>
      <c r="C212" s="9" t="s">
        <v>1345</v>
      </c>
    </row>
    <row r="213" customFormat="false" ht="15" hidden="false" customHeight="false" outlineLevel="0" collapsed="false">
      <c r="A213" s="9" t="s">
        <v>181</v>
      </c>
      <c r="B213" s="9" t="s">
        <v>1074</v>
      </c>
      <c r="C213" s="9" t="s">
        <v>1205</v>
      </c>
    </row>
    <row r="214" customFormat="false" ht="15" hidden="false" customHeight="false" outlineLevel="0" collapsed="false">
      <c r="A214" s="9" t="s">
        <v>181</v>
      </c>
      <c r="B214" s="9" t="s">
        <v>1074</v>
      </c>
      <c r="C214" s="9" t="s">
        <v>1346</v>
      </c>
    </row>
    <row r="215" customFormat="false" ht="15" hidden="false" customHeight="false" outlineLevel="0" collapsed="false">
      <c r="A215" s="9" t="s">
        <v>181</v>
      </c>
      <c r="B215" s="9" t="s">
        <v>1074</v>
      </c>
      <c r="C215" s="9" t="s">
        <v>1347</v>
      </c>
    </row>
    <row r="216" customFormat="false" ht="15" hidden="false" customHeight="false" outlineLevel="0" collapsed="false">
      <c r="A216" s="9" t="s">
        <v>181</v>
      </c>
      <c r="B216" s="9" t="s">
        <v>1074</v>
      </c>
      <c r="C216" s="9" t="s">
        <v>1348</v>
      </c>
    </row>
    <row r="217" customFormat="false" ht="15" hidden="false" customHeight="false" outlineLevel="0" collapsed="false">
      <c r="A217" s="9" t="s">
        <v>181</v>
      </c>
      <c r="B217" s="9" t="s">
        <v>1074</v>
      </c>
      <c r="C217" s="9" t="s">
        <v>1217</v>
      </c>
    </row>
    <row r="218" customFormat="false" ht="15" hidden="false" customHeight="false" outlineLevel="0" collapsed="false">
      <c r="A218" s="9" t="s">
        <v>181</v>
      </c>
      <c r="B218" s="9" t="s">
        <v>1074</v>
      </c>
      <c r="C218" s="9" t="s">
        <v>1349</v>
      </c>
    </row>
    <row r="219" customFormat="false" ht="15" hidden="false" customHeight="false" outlineLevel="0" collapsed="false">
      <c r="A219" s="9" t="s">
        <v>181</v>
      </c>
      <c r="B219" s="9" t="s">
        <v>1074</v>
      </c>
      <c r="C219" s="9" t="s">
        <v>1350</v>
      </c>
    </row>
    <row r="220" customFormat="false" ht="15" hidden="false" customHeight="false" outlineLevel="0" collapsed="false">
      <c r="A220" s="9" t="s">
        <v>223</v>
      </c>
      <c r="B220" s="9" t="s">
        <v>1074</v>
      </c>
      <c r="C220" s="9" t="s">
        <v>1351</v>
      </c>
    </row>
    <row r="221" customFormat="false" ht="15" hidden="false" customHeight="false" outlineLevel="0" collapsed="false">
      <c r="A221" s="9" t="s">
        <v>223</v>
      </c>
      <c r="B221" s="9" t="s">
        <v>1074</v>
      </c>
      <c r="C221" s="9" t="s">
        <v>1352</v>
      </c>
    </row>
    <row r="222" customFormat="false" ht="15" hidden="false" customHeight="false" outlineLevel="0" collapsed="false">
      <c r="A222" s="9" t="s">
        <v>225</v>
      </c>
      <c r="B222" s="9" t="s">
        <v>1074</v>
      </c>
      <c r="C222" s="9" t="s">
        <v>1353</v>
      </c>
    </row>
    <row r="223" customFormat="false" ht="15" hidden="false" customHeight="false" outlineLevel="0" collapsed="false">
      <c r="A223" s="9" t="s">
        <v>205</v>
      </c>
      <c r="B223" s="9" t="s">
        <v>1074</v>
      </c>
      <c r="C223" s="9" t="s">
        <v>1209</v>
      </c>
    </row>
    <row r="224" customFormat="false" ht="15" hidden="false" customHeight="false" outlineLevel="0" collapsed="false">
      <c r="A224" s="9" t="s">
        <v>205</v>
      </c>
      <c r="B224" s="9" t="s">
        <v>1074</v>
      </c>
      <c r="C224" s="9" t="s">
        <v>1354</v>
      </c>
    </row>
    <row r="225" customFormat="false" ht="15" hidden="false" customHeight="false" outlineLevel="0" collapsed="false">
      <c r="A225" s="9" t="s">
        <v>205</v>
      </c>
      <c r="B225" s="9" t="s">
        <v>1074</v>
      </c>
      <c r="C225" s="9" t="s">
        <v>1355</v>
      </c>
    </row>
    <row r="226" customFormat="false" ht="15" hidden="false" customHeight="false" outlineLevel="0" collapsed="false">
      <c r="A226" s="9" t="s">
        <v>205</v>
      </c>
      <c r="B226" s="9" t="s">
        <v>1074</v>
      </c>
      <c r="C226" s="9" t="s">
        <v>1356</v>
      </c>
    </row>
    <row r="227" customFormat="false" ht="15" hidden="false" customHeight="false" outlineLevel="0" collapsed="false">
      <c r="A227" s="9" t="s">
        <v>166</v>
      </c>
      <c r="B227" s="9" t="s">
        <v>1074</v>
      </c>
      <c r="C227" s="9" t="s">
        <v>1210</v>
      </c>
    </row>
    <row r="228" customFormat="false" ht="23.85" hidden="false" customHeight="false" outlineLevel="0" collapsed="false">
      <c r="A228" s="9" t="s">
        <v>166</v>
      </c>
      <c r="B228" s="9" t="s">
        <v>1074</v>
      </c>
      <c r="C228" s="9" t="s">
        <v>1357</v>
      </c>
    </row>
    <row r="229" customFormat="false" ht="15" hidden="false" customHeight="false" outlineLevel="0" collapsed="false">
      <c r="A229" s="9" t="s">
        <v>166</v>
      </c>
      <c r="B229" s="9" t="s">
        <v>1074</v>
      </c>
      <c r="C229" s="9" t="s">
        <v>1358</v>
      </c>
    </row>
    <row r="230" customFormat="false" ht="15" hidden="false" customHeight="false" outlineLevel="0" collapsed="false">
      <c r="A230" s="9" t="s">
        <v>166</v>
      </c>
      <c r="B230" s="9" t="s">
        <v>1074</v>
      </c>
      <c r="C230" s="9" t="s">
        <v>1359</v>
      </c>
    </row>
    <row r="231" customFormat="false" ht="15" hidden="false" customHeight="false" outlineLevel="0" collapsed="false">
      <c r="A231" s="9" t="s">
        <v>166</v>
      </c>
      <c r="B231" s="9" t="s">
        <v>1074</v>
      </c>
      <c r="C231" s="9" t="s">
        <v>1360</v>
      </c>
    </row>
    <row r="232" customFormat="false" ht="15" hidden="false" customHeight="false" outlineLevel="0" collapsed="false">
      <c r="A232" s="9" t="s">
        <v>166</v>
      </c>
      <c r="B232" s="9" t="s">
        <v>1074</v>
      </c>
      <c r="C232" s="9" t="s">
        <v>1361</v>
      </c>
    </row>
    <row r="233" customFormat="false" ht="15" hidden="false" customHeight="false" outlineLevel="0" collapsed="false">
      <c r="A233" s="9" t="s">
        <v>166</v>
      </c>
      <c r="B233" s="9" t="s">
        <v>1074</v>
      </c>
      <c r="C233" s="9" t="s">
        <v>1362</v>
      </c>
    </row>
    <row r="234" customFormat="false" ht="15" hidden="false" customHeight="false" outlineLevel="0" collapsed="false">
      <c r="A234" s="9" t="s">
        <v>166</v>
      </c>
      <c r="B234" s="9" t="s">
        <v>1074</v>
      </c>
      <c r="C234" s="9" t="s">
        <v>1363</v>
      </c>
    </row>
    <row r="235" customFormat="false" ht="15" hidden="false" customHeight="false" outlineLevel="0" collapsed="false">
      <c r="A235" s="9" t="s">
        <v>166</v>
      </c>
      <c r="B235" s="9" t="s">
        <v>1074</v>
      </c>
      <c r="C235" s="9" t="s">
        <v>1364</v>
      </c>
    </row>
    <row r="236" customFormat="false" ht="15" hidden="false" customHeight="false" outlineLevel="0" collapsed="false">
      <c r="A236" s="9" t="s">
        <v>166</v>
      </c>
      <c r="B236" s="9" t="s">
        <v>1074</v>
      </c>
      <c r="C236" s="9" t="s">
        <v>1365</v>
      </c>
    </row>
    <row r="237" customFormat="false" ht="15" hidden="false" customHeight="false" outlineLevel="0" collapsed="false">
      <c r="A237" s="9" t="s">
        <v>166</v>
      </c>
      <c r="B237" s="9" t="s">
        <v>1074</v>
      </c>
      <c r="C237" s="9" t="s">
        <v>1211</v>
      </c>
    </row>
    <row r="238" customFormat="false" ht="23.85" hidden="false" customHeight="false" outlineLevel="0" collapsed="false">
      <c r="A238" s="9" t="s">
        <v>166</v>
      </c>
      <c r="B238" s="9" t="s">
        <v>1074</v>
      </c>
      <c r="C238" s="9" t="s">
        <v>1366</v>
      </c>
    </row>
    <row r="239" customFormat="false" ht="15" hidden="false" customHeight="false" outlineLevel="0" collapsed="false">
      <c r="A239" s="9" t="s">
        <v>166</v>
      </c>
      <c r="B239" s="9" t="s">
        <v>1074</v>
      </c>
      <c r="C239" s="9" t="s">
        <v>1212</v>
      </c>
    </row>
    <row r="240" customFormat="false" ht="23.85" hidden="false" customHeight="false" outlineLevel="0" collapsed="false">
      <c r="A240" s="9" t="s">
        <v>166</v>
      </c>
      <c r="B240" s="9" t="s">
        <v>1074</v>
      </c>
      <c r="C240" s="9" t="s">
        <v>1367</v>
      </c>
    </row>
    <row r="241" customFormat="false" ht="15" hidden="false" customHeight="false" outlineLevel="0" collapsed="false">
      <c r="A241" s="9" t="s">
        <v>166</v>
      </c>
      <c r="B241" s="9" t="s">
        <v>1074</v>
      </c>
      <c r="C241" s="9" t="s">
        <v>1368</v>
      </c>
    </row>
    <row r="242" customFormat="false" ht="15" hidden="false" customHeight="false" outlineLevel="0" collapsed="false">
      <c r="A242" s="9" t="s">
        <v>166</v>
      </c>
      <c r="B242" s="9" t="s">
        <v>1074</v>
      </c>
      <c r="C242" s="9" t="s">
        <v>1213</v>
      </c>
    </row>
    <row r="243" customFormat="false" ht="15" hidden="false" customHeight="false" outlineLevel="0" collapsed="false">
      <c r="A243" s="9" t="s">
        <v>166</v>
      </c>
      <c r="B243" s="9" t="s">
        <v>1074</v>
      </c>
      <c r="C243" s="9" t="s">
        <v>1369</v>
      </c>
    </row>
    <row r="244" customFormat="false" ht="15" hidden="false" customHeight="false" outlineLevel="0" collapsed="false">
      <c r="A244" s="9" t="s">
        <v>166</v>
      </c>
      <c r="B244" s="9" t="s">
        <v>1074</v>
      </c>
      <c r="C244" s="9" t="s">
        <v>1370</v>
      </c>
    </row>
    <row r="245" customFormat="false" ht="15" hidden="false" customHeight="false" outlineLevel="0" collapsed="false">
      <c r="A245" s="9" t="s">
        <v>166</v>
      </c>
      <c r="B245" s="9" t="s">
        <v>1074</v>
      </c>
      <c r="C245" s="9" t="s">
        <v>1371</v>
      </c>
    </row>
    <row r="246" customFormat="false" ht="15" hidden="false" customHeight="false" outlineLevel="0" collapsed="false">
      <c r="A246" s="9" t="s">
        <v>166</v>
      </c>
      <c r="B246" s="9" t="s">
        <v>1074</v>
      </c>
      <c r="C246" s="9" t="s">
        <v>1372</v>
      </c>
    </row>
    <row r="247" customFormat="false" ht="23.85" hidden="false" customHeight="false" outlineLevel="0" collapsed="false">
      <c r="A247" s="9" t="s">
        <v>166</v>
      </c>
      <c r="B247" s="9" t="s">
        <v>1074</v>
      </c>
      <c r="C247" s="9" t="s">
        <v>1373</v>
      </c>
    </row>
    <row r="248" customFormat="false" ht="15" hidden="false" customHeight="false" outlineLevel="0" collapsed="false">
      <c r="A248" s="9" t="s">
        <v>166</v>
      </c>
      <c r="B248" s="9" t="s">
        <v>1074</v>
      </c>
      <c r="C248" s="9" t="s">
        <v>1374</v>
      </c>
    </row>
    <row r="249" customFormat="false" ht="15" hidden="false" customHeight="false" outlineLevel="0" collapsed="false">
      <c r="A249" s="9" t="s">
        <v>166</v>
      </c>
      <c r="B249" s="9" t="s">
        <v>1074</v>
      </c>
      <c r="C249" s="9" t="s">
        <v>1375</v>
      </c>
    </row>
    <row r="250" customFormat="false" ht="15" hidden="false" customHeight="false" outlineLevel="0" collapsed="false">
      <c r="A250" s="9" t="s">
        <v>166</v>
      </c>
      <c r="B250" s="9" t="s">
        <v>1074</v>
      </c>
      <c r="C250" s="9" t="s">
        <v>1376</v>
      </c>
    </row>
    <row r="251" customFormat="false" ht="15" hidden="false" customHeight="false" outlineLevel="0" collapsed="false">
      <c r="A251" s="9" t="s">
        <v>172</v>
      </c>
      <c r="B251" s="9" t="s">
        <v>1074</v>
      </c>
      <c r="C251" s="9" t="s">
        <v>1214</v>
      </c>
    </row>
    <row r="252" customFormat="false" ht="15" hidden="false" customHeight="false" outlineLevel="0" collapsed="false">
      <c r="A252" s="9" t="s">
        <v>172</v>
      </c>
      <c r="B252" s="9" t="s">
        <v>1074</v>
      </c>
      <c r="C252" s="9" t="s">
        <v>1377</v>
      </c>
    </row>
    <row r="253" customFormat="false" ht="15" hidden="false" customHeight="false" outlineLevel="0" collapsed="false">
      <c r="A253" s="9" t="s">
        <v>172</v>
      </c>
      <c r="B253" s="9" t="s">
        <v>1074</v>
      </c>
      <c r="C253" s="9" t="s">
        <v>1378</v>
      </c>
    </row>
    <row r="254" customFormat="false" ht="15" hidden="false" customHeight="false" outlineLevel="0" collapsed="false">
      <c r="A254" s="9" t="s">
        <v>172</v>
      </c>
      <c r="B254" s="9" t="s">
        <v>1074</v>
      </c>
      <c r="C254" s="9" t="s">
        <v>1379</v>
      </c>
    </row>
    <row r="255" customFormat="false" ht="15" hidden="false" customHeight="false" outlineLevel="0" collapsed="false">
      <c r="A255" s="9" t="s">
        <v>172</v>
      </c>
      <c r="B255" s="9" t="s">
        <v>1074</v>
      </c>
      <c r="C255" s="9" t="s">
        <v>1380</v>
      </c>
    </row>
    <row r="256" customFormat="false" ht="15" hidden="false" customHeight="false" outlineLevel="0" collapsed="false">
      <c r="A256" s="9" t="s">
        <v>172</v>
      </c>
      <c r="B256" s="9" t="s">
        <v>1074</v>
      </c>
      <c r="C256" s="9" t="s">
        <v>1381</v>
      </c>
    </row>
    <row r="257" customFormat="false" ht="23.85" hidden="false" customHeight="false" outlineLevel="0" collapsed="false">
      <c r="A257" s="9" t="s">
        <v>172</v>
      </c>
      <c r="B257" s="9" t="s">
        <v>1074</v>
      </c>
      <c r="C257" s="9" t="s">
        <v>1382</v>
      </c>
    </row>
    <row r="258" customFormat="false" ht="15" hidden="false" customHeight="false" outlineLevel="0" collapsed="false">
      <c r="A258" s="9" t="s">
        <v>172</v>
      </c>
      <c r="B258" s="9" t="s">
        <v>1074</v>
      </c>
      <c r="C258" s="9" t="s">
        <v>1383</v>
      </c>
    </row>
    <row r="259" customFormat="false" ht="15" hidden="false" customHeight="false" outlineLevel="0" collapsed="false">
      <c r="A259" s="9" t="s">
        <v>172</v>
      </c>
      <c r="B259" s="9" t="s">
        <v>1074</v>
      </c>
      <c r="C259" s="9" t="s">
        <v>1384</v>
      </c>
    </row>
    <row r="260" customFormat="false" ht="15" hidden="false" customHeight="false" outlineLevel="0" collapsed="false">
      <c r="A260" s="9" t="s">
        <v>172</v>
      </c>
      <c r="B260" s="9" t="s">
        <v>1074</v>
      </c>
      <c r="C260" s="9" t="s">
        <v>1385</v>
      </c>
    </row>
    <row r="261" customFormat="false" ht="15" hidden="false" customHeight="false" outlineLevel="0" collapsed="false">
      <c r="A261" s="9" t="s">
        <v>172</v>
      </c>
      <c r="B261" s="9" t="s">
        <v>1074</v>
      </c>
      <c r="C261" s="9" t="s">
        <v>1386</v>
      </c>
    </row>
    <row r="262" customFormat="false" ht="15" hidden="false" customHeight="false" outlineLevel="0" collapsed="false">
      <c r="A262" s="9" t="s">
        <v>172</v>
      </c>
      <c r="B262" s="9" t="s">
        <v>1074</v>
      </c>
      <c r="C262" s="9" t="s">
        <v>1387</v>
      </c>
    </row>
    <row r="263" customFormat="false" ht="23.85" hidden="false" customHeight="false" outlineLevel="0" collapsed="false">
      <c r="A263" s="9" t="s">
        <v>159</v>
      </c>
      <c r="B263" s="9" t="s">
        <v>1074</v>
      </c>
      <c r="C263" s="9" t="s">
        <v>1388</v>
      </c>
    </row>
    <row r="264" customFormat="false" ht="15" hidden="false" customHeight="false" outlineLevel="0" collapsed="false">
      <c r="A264" s="9" t="s">
        <v>159</v>
      </c>
      <c r="B264" s="9" t="s">
        <v>1074</v>
      </c>
      <c r="C264" s="9" t="s">
        <v>1389</v>
      </c>
    </row>
    <row r="265" customFormat="false" ht="15" hidden="false" customHeight="false" outlineLevel="0" collapsed="false">
      <c r="A265" s="9" t="s">
        <v>159</v>
      </c>
      <c r="B265" s="9" t="s">
        <v>1074</v>
      </c>
      <c r="C265" s="9" t="s">
        <v>1390</v>
      </c>
    </row>
    <row r="266" customFormat="false" ht="15" hidden="false" customHeight="false" outlineLevel="0" collapsed="false">
      <c r="A266" s="9" t="s">
        <v>159</v>
      </c>
      <c r="B266" s="9" t="s">
        <v>1074</v>
      </c>
      <c r="C266" s="9" t="s">
        <v>1391</v>
      </c>
    </row>
    <row r="267" customFormat="false" ht="15" hidden="false" customHeight="false" outlineLevel="0" collapsed="false">
      <c r="A267" s="9" t="s">
        <v>159</v>
      </c>
      <c r="B267" s="9" t="s">
        <v>1074</v>
      </c>
      <c r="C267" s="9" t="s">
        <v>1392</v>
      </c>
    </row>
    <row r="268" customFormat="false" ht="15" hidden="false" customHeight="false" outlineLevel="0" collapsed="false">
      <c r="A268" s="9" t="s">
        <v>159</v>
      </c>
      <c r="B268" s="9" t="s">
        <v>1074</v>
      </c>
      <c r="C268" s="9" t="s">
        <v>38</v>
      </c>
    </row>
    <row r="269" customFormat="false" ht="15" hidden="false" customHeight="false" outlineLevel="0" collapsed="false">
      <c r="A269" s="9" t="s">
        <v>159</v>
      </c>
      <c r="B269" s="9" t="s">
        <v>1074</v>
      </c>
      <c r="C269" s="9" t="s">
        <v>1393</v>
      </c>
    </row>
    <row r="270" customFormat="false" ht="15" hidden="false" customHeight="false" outlineLevel="0" collapsed="false">
      <c r="A270" s="9" t="s">
        <v>159</v>
      </c>
      <c r="B270" s="9" t="s">
        <v>1074</v>
      </c>
      <c r="C270" s="9" t="s">
        <v>1394</v>
      </c>
    </row>
    <row r="271" customFormat="false" ht="15" hidden="false" customHeight="false" outlineLevel="0" collapsed="false">
      <c r="A271" s="9" t="s">
        <v>159</v>
      </c>
      <c r="B271" s="9" t="s">
        <v>1074</v>
      </c>
      <c r="C271" s="9" t="s">
        <v>1395</v>
      </c>
    </row>
    <row r="272" customFormat="false" ht="15" hidden="false" customHeight="false" outlineLevel="0" collapsed="false">
      <c r="A272" s="9" t="s">
        <v>159</v>
      </c>
      <c r="B272" s="9" t="s">
        <v>1074</v>
      </c>
      <c r="C272" s="9" t="s">
        <v>1021</v>
      </c>
    </row>
    <row r="273" customFormat="false" ht="15" hidden="false" customHeight="false" outlineLevel="0" collapsed="false">
      <c r="A273" s="9" t="s">
        <v>159</v>
      </c>
      <c r="B273" s="9" t="s">
        <v>1074</v>
      </c>
      <c r="C273" s="9" t="s">
        <v>1396</v>
      </c>
    </row>
    <row r="274" customFormat="false" ht="15" hidden="false" customHeight="false" outlineLevel="0" collapsed="false">
      <c r="A274" s="9" t="s">
        <v>159</v>
      </c>
      <c r="B274" s="9" t="s">
        <v>1074</v>
      </c>
      <c r="C274" s="9" t="s">
        <v>1397</v>
      </c>
    </row>
    <row r="275" customFormat="false" ht="15" hidden="false" customHeight="false" outlineLevel="0" collapsed="false">
      <c r="A275" s="9" t="s">
        <v>159</v>
      </c>
      <c r="B275" s="9" t="s">
        <v>1074</v>
      </c>
      <c r="C275" s="9" t="s">
        <v>1398</v>
      </c>
    </row>
    <row r="276" customFormat="false" ht="15" hidden="false" customHeight="false" outlineLevel="0" collapsed="false">
      <c r="A276" s="9" t="s">
        <v>159</v>
      </c>
      <c r="B276" s="9" t="s">
        <v>1074</v>
      </c>
      <c r="C276" s="9" t="s">
        <v>1399</v>
      </c>
    </row>
    <row r="277" customFormat="false" ht="15" hidden="false" customHeight="false" outlineLevel="0" collapsed="false">
      <c r="A277" s="9" t="s">
        <v>159</v>
      </c>
      <c r="B277" s="9" t="s">
        <v>1074</v>
      </c>
      <c r="C277" s="9" t="s">
        <v>1400</v>
      </c>
    </row>
    <row r="278" customFormat="false" ht="15" hidden="false" customHeight="false" outlineLevel="0" collapsed="false">
      <c r="A278" s="9" t="s">
        <v>159</v>
      </c>
      <c r="B278" s="9" t="s">
        <v>1074</v>
      </c>
      <c r="C278" s="9" t="s">
        <v>1401</v>
      </c>
    </row>
    <row r="279" customFormat="false" ht="15" hidden="false" customHeight="false" outlineLevel="0" collapsed="false">
      <c r="A279" s="9" t="s">
        <v>159</v>
      </c>
      <c r="B279" s="9" t="s">
        <v>1074</v>
      </c>
      <c r="C279" s="9" t="s">
        <v>1402</v>
      </c>
    </row>
    <row r="280" customFormat="false" ht="15" hidden="false" customHeight="false" outlineLevel="0" collapsed="false">
      <c r="A280" s="9" t="s">
        <v>159</v>
      </c>
      <c r="B280" s="9" t="s">
        <v>1074</v>
      </c>
      <c r="C280" s="9" t="s">
        <v>1403</v>
      </c>
    </row>
    <row r="281" customFormat="false" ht="15" hidden="false" customHeight="false" outlineLevel="0" collapsed="false">
      <c r="A281" s="9" t="s">
        <v>159</v>
      </c>
      <c r="B281" s="9" t="s">
        <v>1074</v>
      </c>
      <c r="C281" s="9" t="s">
        <v>1404</v>
      </c>
    </row>
    <row r="282" customFormat="false" ht="15" hidden="false" customHeight="false" outlineLevel="0" collapsed="false">
      <c r="A282" s="9" t="s">
        <v>159</v>
      </c>
      <c r="B282" s="9" t="s">
        <v>1074</v>
      </c>
      <c r="C282" s="9" t="s">
        <v>1405</v>
      </c>
    </row>
    <row r="283" customFormat="false" ht="23.85" hidden="false" customHeight="false" outlineLevel="0" collapsed="false">
      <c r="A283" s="9" t="s">
        <v>159</v>
      </c>
      <c r="B283" s="9" t="s">
        <v>1074</v>
      </c>
      <c r="C283" s="9" t="s">
        <v>1406</v>
      </c>
    </row>
    <row r="284" customFormat="false" ht="15" hidden="false" customHeight="false" outlineLevel="0" collapsed="false">
      <c r="A284" s="9" t="s">
        <v>180</v>
      </c>
      <c r="B284" s="9" t="s">
        <v>1074</v>
      </c>
      <c r="C284" s="9" t="s">
        <v>1407</v>
      </c>
    </row>
    <row r="285" customFormat="false" ht="15" hidden="false" customHeight="false" outlineLevel="0" collapsed="false">
      <c r="A285" s="9" t="s">
        <v>180</v>
      </c>
      <c r="B285" s="9" t="s">
        <v>1074</v>
      </c>
      <c r="C285" s="9" t="s">
        <v>1017</v>
      </c>
    </row>
    <row r="286" customFormat="false" ht="15" hidden="false" customHeight="false" outlineLevel="0" collapsed="false">
      <c r="A286" s="9" t="s">
        <v>180</v>
      </c>
      <c r="B286" s="9" t="s">
        <v>1074</v>
      </c>
      <c r="C286" s="9" t="s">
        <v>1408</v>
      </c>
    </row>
    <row r="287" customFormat="false" ht="15" hidden="false" customHeight="false" outlineLevel="0" collapsed="false">
      <c r="A287" s="9" t="s">
        <v>180</v>
      </c>
      <c r="B287" s="9" t="s">
        <v>1074</v>
      </c>
      <c r="C287" s="9" t="s">
        <v>1409</v>
      </c>
    </row>
    <row r="288" customFormat="false" ht="15" hidden="false" customHeight="false" outlineLevel="0" collapsed="false">
      <c r="A288" s="9" t="s">
        <v>180</v>
      </c>
      <c r="B288" s="9" t="s">
        <v>1074</v>
      </c>
      <c r="C288" s="9" t="s">
        <v>1410</v>
      </c>
    </row>
    <row r="289" customFormat="false" ht="15" hidden="false" customHeight="false" outlineLevel="0" collapsed="false">
      <c r="A289" s="9" t="s">
        <v>180</v>
      </c>
      <c r="B289" s="9" t="s">
        <v>1074</v>
      </c>
      <c r="C289" s="9" t="s">
        <v>1411</v>
      </c>
    </row>
    <row r="290" customFormat="false" ht="15" hidden="false" customHeight="false" outlineLevel="0" collapsed="false">
      <c r="A290" s="9" t="s">
        <v>180</v>
      </c>
      <c r="B290" s="9" t="s">
        <v>1074</v>
      </c>
      <c r="C290" s="9" t="s">
        <v>1412</v>
      </c>
    </row>
    <row r="291" customFormat="false" ht="15" hidden="false" customHeight="false" outlineLevel="0" collapsed="false">
      <c r="A291" s="9" t="s">
        <v>165</v>
      </c>
      <c r="B291" s="9" t="s">
        <v>1074</v>
      </c>
      <c r="C291" s="9" t="s">
        <v>1216</v>
      </c>
    </row>
    <row r="292" customFormat="false" ht="23.85" hidden="false" customHeight="false" outlineLevel="0" collapsed="false">
      <c r="A292" s="9" t="s">
        <v>165</v>
      </c>
      <c r="B292" s="9" t="s">
        <v>1074</v>
      </c>
      <c r="C292" s="9" t="s">
        <v>1413</v>
      </c>
    </row>
    <row r="293" customFormat="false" ht="15" hidden="false" customHeight="false" outlineLevel="0" collapsed="false">
      <c r="A293" s="9" t="s">
        <v>165</v>
      </c>
      <c r="B293" s="9" t="s">
        <v>1074</v>
      </c>
      <c r="C293" s="9" t="s">
        <v>1414</v>
      </c>
    </row>
    <row r="294" customFormat="false" ht="15" hidden="false" customHeight="false" outlineLevel="0" collapsed="false">
      <c r="A294" s="9" t="s">
        <v>165</v>
      </c>
      <c r="B294" s="9" t="s">
        <v>1074</v>
      </c>
      <c r="C294" s="9" t="s">
        <v>1415</v>
      </c>
    </row>
    <row r="295" customFormat="false" ht="15" hidden="false" customHeight="false" outlineLevel="0" collapsed="false">
      <c r="A295" s="9" t="s">
        <v>165</v>
      </c>
      <c r="B295" s="9" t="s">
        <v>1074</v>
      </c>
      <c r="C295" s="9" t="s">
        <v>1416</v>
      </c>
    </row>
    <row r="296" customFormat="false" ht="15" hidden="false" customHeight="false" outlineLevel="0" collapsed="false">
      <c r="A296" s="9" t="s">
        <v>165</v>
      </c>
      <c r="B296" s="9" t="s">
        <v>1074</v>
      </c>
      <c r="C296" s="9" t="s">
        <v>1417</v>
      </c>
    </row>
    <row r="297" customFormat="false" ht="15" hidden="false" customHeight="false" outlineLevel="0" collapsed="false">
      <c r="A297" s="9" t="s">
        <v>165</v>
      </c>
      <c r="B297" s="9" t="s">
        <v>1074</v>
      </c>
      <c r="C297" s="9" t="s">
        <v>1418</v>
      </c>
    </row>
    <row r="298" customFormat="false" ht="23.85" hidden="false" customHeight="false" outlineLevel="0" collapsed="false">
      <c r="A298" s="9" t="s">
        <v>165</v>
      </c>
      <c r="B298" s="9" t="s">
        <v>1074</v>
      </c>
      <c r="C298" s="9" t="s">
        <v>1419</v>
      </c>
    </row>
    <row r="299" customFormat="false" ht="15" hidden="false" customHeight="false" outlineLevel="0" collapsed="false">
      <c r="A299" s="9" t="s">
        <v>165</v>
      </c>
      <c r="B299" s="9" t="s">
        <v>1074</v>
      </c>
      <c r="C299" s="9" t="s">
        <v>1420</v>
      </c>
    </row>
    <row r="300" customFormat="false" ht="15" hidden="false" customHeight="false" outlineLevel="0" collapsed="false">
      <c r="A300" s="9" t="s">
        <v>165</v>
      </c>
      <c r="B300" s="9" t="s">
        <v>1074</v>
      </c>
      <c r="C300" s="9" t="s">
        <v>1421</v>
      </c>
    </row>
    <row r="301" customFormat="false" ht="15" hidden="false" customHeight="false" outlineLevel="0" collapsed="false">
      <c r="A301" s="9" t="s">
        <v>165</v>
      </c>
      <c r="B301" s="9" t="s">
        <v>1074</v>
      </c>
      <c r="C301" s="9" t="s">
        <v>1422</v>
      </c>
    </row>
    <row r="302" customFormat="false" ht="15" hidden="false" customHeight="false" outlineLevel="0" collapsed="false">
      <c r="A302" s="9" t="s">
        <v>165</v>
      </c>
      <c r="B302" s="9" t="s">
        <v>1074</v>
      </c>
      <c r="C302" s="9" t="s">
        <v>1423</v>
      </c>
    </row>
    <row r="303" customFormat="false" ht="15" hidden="false" customHeight="false" outlineLevel="0" collapsed="false">
      <c r="A303" s="9" t="s">
        <v>165</v>
      </c>
      <c r="B303" s="9" t="s">
        <v>1074</v>
      </c>
      <c r="C303" s="9" t="s">
        <v>1424</v>
      </c>
    </row>
    <row r="304" customFormat="false" ht="15" hidden="false" customHeight="false" outlineLevel="0" collapsed="false">
      <c r="A304" s="9" t="s">
        <v>165</v>
      </c>
      <c r="B304" s="9" t="s">
        <v>1074</v>
      </c>
      <c r="C304" s="9" t="s">
        <v>1425</v>
      </c>
    </row>
    <row r="305" customFormat="false" ht="15" hidden="false" customHeight="false" outlineLevel="0" collapsed="false">
      <c r="A305" s="9" t="s">
        <v>165</v>
      </c>
      <c r="B305" s="9" t="s">
        <v>1074</v>
      </c>
      <c r="C305" s="9" t="s">
        <v>1426</v>
      </c>
    </row>
    <row r="306" customFormat="false" ht="15" hidden="false" customHeight="false" outlineLevel="0" collapsed="false">
      <c r="A306" s="9" t="s">
        <v>209</v>
      </c>
      <c r="B306" s="9" t="s">
        <v>1074</v>
      </c>
      <c r="C306" s="9" t="s">
        <v>116</v>
      </c>
    </row>
    <row r="307" customFormat="false" ht="23.85" hidden="false" customHeight="false" outlineLevel="0" collapsed="false">
      <c r="A307" s="9" t="s">
        <v>162</v>
      </c>
      <c r="B307" s="9" t="s">
        <v>1074</v>
      </c>
      <c r="C307" s="9" t="s">
        <v>1427</v>
      </c>
    </row>
    <row r="308" customFormat="false" ht="15" hidden="false" customHeight="false" outlineLevel="0" collapsed="false">
      <c r="A308" s="9" t="s">
        <v>162</v>
      </c>
      <c r="B308" s="9" t="s">
        <v>1074</v>
      </c>
      <c r="C308" s="9" t="s">
        <v>1218</v>
      </c>
    </row>
    <row r="309" customFormat="false" ht="23.85" hidden="false" customHeight="false" outlineLevel="0" collapsed="false">
      <c r="A309" s="9" t="s">
        <v>162</v>
      </c>
      <c r="B309" s="9" t="s">
        <v>1074</v>
      </c>
      <c r="C309" s="9" t="s">
        <v>1428</v>
      </c>
    </row>
    <row r="310" customFormat="false" ht="15" hidden="false" customHeight="false" outlineLevel="0" collapsed="false">
      <c r="A310" s="9" t="s">
        <v>162</v>
      </c>
      <c r="B310" s="9" t="s">
        <v>1074</v>
      </c>
      <c r="C310" s="9" t="s">
        <v>1429</v>
      </c>
    </row>
    <row r="311" customFormat="false" ht="15" hidden="false" customHeight="false" outlineLevel="0" collapsed="false">
      <c r="A311" s="9" t="s">
        <v>162</v>
      </c>
      <c r="B311" s="9" t="s">
        <v>1074</v>
      </c>
      <c r="C311" s="9" t="s">
        <v>1430</v>
      </c>
    </row>
    <row r="312" customFormat="false" ht="15" hidden="false" customHeight="false" outlineLevel="0" collapsed="false">
      <c r="A312" s="9" t="s">
        <v>162</v>
      </c>
      <c r="B312" s="9" t="s">
        <v>1074</v>
      </c>
      <c r="C312" s="9" t="s">
        <v>1431</v>
      </c>
    </row>
    <row r="313" customFormat="false" ht="15" hidden="false" customHeight="false" outlineLevel="0" collapsed="false">
      <c r="A313" s="9" t="s">
        <v>162</v>
      </c>
      <c r="B313" s="9" t="s">
        <v>1074</v>
      </c>
      <c r="C313" s="9" t="s">
        <v>1432</v>
      </c>
    </row>
    <row r="314" customFormat="false" ht="15" hidden="false" customHeight="false" outlineLevel="0" collapsed="false">
      <c r="A314" s="9" t="s">
        <v>162</v>
      </c>
      <c r="B314" s="9" t="s">
        <v>1074</v>
      </c>
      <c r="C314" s="9" t="s">
        <v>1433</v>
      </c>
    </row>
    <row r="315" customFormat="false" ht="15" hidden="false" customHeight="false" outlineLevel="0" collapsed="false">
      <c r="A315" s="9" t="s">
        <v>162</v>
      </c>
      <c r="B315" s="9" t="s">
        <v>1074</v>
      </c>
      <c r="C315" s="9" t="s">
        <v>1434</v>
      </c>
    </row>
    <row r="316" customFormat="false" ht="15" hidden="false" customHeight="false" outlineLevel="0" collapsed="false">
      <c r="A316" s="9" t="s">
        <v>162</v>
      </c>
      <c r="B316" s="9" t="s">
        <v>1074</v>
      </c>
      <c r="C316" s="9" t="s">
        <v>1435</v>
      </c>
    </row>
    <row r="317" customFormat="false" ht="15" hidden="false" customHeight="false" outlineLevel="0" collapsed="false">
      <c r="A317" s="9" t="s">
        <v>162</v>
      </c>
      <c r="B317" s="9" t="s">
        <v>1074</v>
      </c>
      <c r="C317" s="9" t="s">
        <v>1436</v>
      </c>
    </row>
    <row r="318" customFormat="false" ht="23.85" hidden="false" customHeight="false" outlineLevel="0" collapsed="false">
      <c r="A318" s="9" t="s">
        <v>162</v>
      </c>
      <c r="B318" s="9" t="s">
        <v>1074</v>
      </c>
      <c r="C318" s="9" t="s">
        <v>1437</v>
      </c>
    </row>
    <row r="319" customFormat="false" ht="15" hidden="false" customHeight="false" outlineLevel="0" collapsed="false">
      <c r="A319" s="9" t="s">
        <v>197</v>
      </c>
      <c r="B319" s="9" t="s">
        <v>1074</v>
      </c>
      <c r="C319" s="9" t="s">
        <v>31</v>
      </c>
    </row>
    <row r="320" customFormat="false" ht="15" hidden="false" customHeight="false" outlineLevel="0" collapsed="false">
      <c r="A320" s="9" t="s">
        <v>168</v>
      </c>
      <c r="B320" s="9" t="s">
        <v>1074</v>
      </c>
      <c r="C320" s="9" t="s">
        <v>1438</v>
      </c>
    </row>
    <row r="321" customFormat="false" ht="15" hidden="false" customHeight="false" outlineLevel="0" collapsed="false">
      <c r="A321" s="9" t="s">
        <v>168</v>
      </c>
      <c r="B321" s="9" t="s">
        <v>1074</v>
      </c>
      <c r="C321" s="9" t="s">
        <v>1439</v>
      </c>
    </row>
    <row r="322" customFormat="false" ht="15" hidden="false" customHeight="false" outlineLevel="0" collapsed="false">
      <c r="A322" s="9" t="s">
        <v>168</v>
      </c>
      <c r="B322" s="9" t="s">
        <v>1074</v>
      </c>
      <c r="C322" s="9" t="s">
        <v>1222</v>
      </c>
    </row>
    <row r="323" customFormat="false" ht="15" hidden="false" customHeight="false" outlineLevel="0" collapsed="false">
      <c r="A323" s="9" t="s">
        <v>168</v>
      </c>
      <c r="B323" s="9" t="s">
        <v>1074</v>
      </c>
      <c r="C323" s="9" t="s">
        <v>1221</v>
      </c>
    </row>
    <row r="324" customFormat="false" ht="15" hidden="false" customHeight="false" outlineLevel="0" collapsed="false">
      <c r="A324" s="9" t="s">
        <v>170</v>
      </c>
      <c r="B324" s="9" t="s">
        <v>1074</v>
      </c>
      <c r="C324" s="9" t="s">
        <v>1223</v>
      </c>
    </row>
    <row r="325" customFormat="false" ht="15" hidden="false" customHeight="false" outlineLevel="0" collapsed="false">
      <c r="A325" s="9" t="s">
        <v>170</v>
      </c>
      <c r="B325" s="9" t="s">
        <v>1074</v>
      </c>
      <c r="C325" s="9" t="s">
        <v>1224</v>
      </c>
    </row>
    <row r="326" customFormat="false" ht="15" hidden="false" customHeight="false" outlineLevel="0" collapsed="false">
      <c r="A326" s="9" t="s">
        <v>170</v>
      </c>
      <c r="B326" s="9" t="s">
        <v>1074</v>
      </c>
      <c r="C326" s="9" t="s">
        <v>1440</v>
      </c>
    </row>
    <row r="327" customFormat="false" ht="15" hidden="false" customHeight="false" outlineLevel="0" collapsed="false">
      <c r="A327" s="9" t="s">
        <v>170</v>
      </c>
      <c r="B327" s="9" t="s">
        <v>1074</v>
      </c>
      <c r="C327" s="9" t="s">
        <v>1441</v>
      </c>
    </row>
    <row r="328" customFormat="false" ht="35.05" hidden="false" customHeight="false" outlineLevel="0" collapsed="false">
      <c r="A328" s="9" t="s">
        <v>170</v>
      </c>
      <c r="B328" s="9" t="s">
        <v>1074</v>
      </c>
      <c r="C328" s="9" t="s">
        <v>1442</v>
      </c>
    </row>
    <row r="329" customFormat="false" ht="15" hidden="false" customHeight="false" outlineLevel="0" collapsed="false">
      <c r="A329" s="9" t="s">
        <v>170</v>
      </c>
      <c r="B329" s="9" t="s">
        <v>1074</v>
      </c>
      <c r="C329" s="9" t="s">
        <v>1443</v>
      </c>
    </row>
    <row r="330" customFormat="false" ht="15" hidden="false" customHeight="false" outlineLevel="0" collapsed="false">
      <c r="A330" s="9" t="s">
        <v>170</v>
      </c>
      <c r="B330" s="9" t="s">
        <v>1074</v>
      </c>
      <c r="C330" s="9" t="s">
        <v>1444</v>
      </c>
    </row>
    <row r="331" customFormat="false" ht="15" hidden="false" customHeight="false" outlineLevel="0" collapsed="false">
      <c r="A331" s="9" t="s">
        <v>170</v>
      </c>
      <c r="B331" s="9" t="s">
        <v>1074</v>
      </c>
      <c r="C331" s="9" t="s">
        <v>1445</v>
      </c>
    </row>
    <row r="332" customFormat="false" ht="15" hidden="false" customHeight="false" outlineLevel="0" collapsed="false">
      <c r="A332" s="9" t="s">
        <v>170</v>
      </c>
      <c r="B332" s="9" t="s">
        <v>1074</v>
      </c>
      <c r="C332" s="9" t="s">
        <v>1225</v>
      </c>
    </row>
    <row r="333" customFormat="false" ht="23.85" hidden="false" customHeight="false" outlineLevel="0" collapsed="false">
      <c r="A333" s="9" t="s">
        <v>170</v>
      </c>
      <c r="B333" s="9" t="s">
        <v>1074</v>
      </c>
      <c r="C333" s="9" t="s">
        <v>1446</v>
      </c>
    </row>
    <row r="334" customFormat="false" ht="15" hidden="false" customHeight="false" outlineLevel="0" collapsed="false">
      <c r="A334" s="9" t="s">
        <v>170</v>
      </c>
      <c r="B334" s="9" t="s">
        <v>1074</v>
      </c>
      <c r="C334" s="9" t="s">
        <v>1447</v>
      </c>
    </row>
    <row r="335" customFormat="false" ht="15" hidden="false" customHeight="false" outlineLevel="0" collapsed="false">
      <c r="A335" s="9" t="s">
        <v>170</v>
      </c>
      <c r="B335" s="9" t="s">
        <v>1074</v>
      </c>
      <c r="C335" s="9" t="s">
        <v>1226</v>
      </c>
    </row>
    <row r="336" customFormat="false" ht="15" hidden="false" customHeight="false" outlineLevel="0" collapsed="false">
      <c r="A336" s="9" t="s">
        <v>170</v>
      </c>
      <c r="B336" s="9" t="s">
        <v>1074</v>
      </c>
      <c r="C336" s="9" t="s">
        <v>1448</v>
      </c>
    </row>
    <row r="337" customFormat="false" ht="15" hidden="false" customHeight="false" outlineLevel="0" collapsed="false">
      <c r="A337" s="9" t="s">
        <v>170</v>
      </c>
      <c r="B337" s="9" t="s">
        <v>1074</v>
      </c>
      <c r="C337" s="9" t="s">
        <v>1449</v>
      </c>
    </row>
    <row r="338" customFormat="false" ht="15" hidden="false" customHeight="false" outlineLevel="0" collapsed="false">
      <c r="A338" s="9" t="s">
        <v>170</v>
      </c>
      <c r="B338" s="9" t="s">
        <v>1074</v>
      </c>
      <c r="C338" s="9" t="s">
        <v>1450</v>
      </c>
    </row>
    <row r="339" customFormat="false" ht="15" hidden="false" customHeight="false" outlineLevel="0" collapsed="false">
      <c r="A339" s="9" t="s">
        <v>170</v>
      </c>
      <c r="B339" s="9" t="s">
        <v>1074</v>
      </c>
      <c r="C339" s="9" t="s">
        <v>1451</v>
      </c>
    </row>
    <row r="340" customFormat="false" ht="15" hidden="false" customHeight="false" outlineLevel="0" collapsed="false">
      <c r="A340" s="9" t="s">
        <v>170</v>
      </c>
      <c r="B340" s="9" t="s">
        <v>1074</v>
      </c>
      <c r="C340" s="9" t="s">
        <v>1452</v>
      </c>
    </row>
    <row r="341" customFormat="false" ht="23.85" hidden="false" customHeight="false" outlineLevel="0" collapsed="false">
      <c r="A341" s="9" t="s">
        <v>170</v>
      </c>
      <c r="B341" s="9" t="s">
        <v>1074</v>
      </c>
      <c r="C341" s="9" t="s">
        <v>1453</v>
      </c>
    </row>
    <row r="342" customFormat="false" ht="15" hidden="false" customHeight="false" outlineLevel="0" collapsed="false">
      <c r="A342" s="9" t="s">
        <v>170</v>
      </c>
      <c r="B342" s="9" t="s">
        <v>1074</v>
      </c>
      <c r="C342" s="9" t="s">
        <v>1454</v>
      </c>
    </row>
    <row r="343" customFormat="false" ht="15" hidden="false" customHeight="false" outlineLevel="0" collapsed="false">
      <c r="A343" s="9" t="s">
        <v>170</v>
      </c>
      <c r="B343" s="9" t="s">
        <v>1074</v>
      </c>
      <c r="C343" s="9" t="s">
        <v>1455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4"/>
    <col collapsed="false" customWidth="true" hidden="false" outlineLevel="0" max="3" min="3" style="0" width="90"/>
  </cols>
  <sheetData>
    <row r="1" customFormat="false" ht="15" hidden="false" customHeight="false" outlineLevel="0" collapsed="false">
      <c r="A1" s="8" t="s">
        <v>149</v>
      </c>
      <c r="B1" s="8" t="s">
        <v>1456</v>
      </c>
      <c r="C1" s="8" t="s">
        <v>1457</v>
      </c>
    </row>
    <row r="2" customFormat="false" ht="15" hidden="false" customHeight="false" outlineLevel="0" collapsed="false">
      <c r="A2" s="9" t="s">
        <v>1458</v>
      </c>
      <c r="B2" s="9" t="s">
        <v>1459</v>
      </c>
      <c r="C2" s="9" t="s">
        <v>1460</v>
      </c>
    </row>
    <row r="3" customFormat="false" ht="15" hidden="false" customHeight="false" outlineLevel="0" collapsed="false">
      <c r="A3" s="9" t="s">
        <v>1461</v>
      </c>
      <c r="B3" s="9" t="s">
        <v>1122</v>
      </c>
      <c r="C3" s="9" t="s">
        <v>1462</v>
      </c>
    </row>
    <row r="4" customFormat="false" ht="15" hidden="false" customHeight="false" outlineLevel="0" collapsed="false">
      <c r="A4" s="9" t="s">
        <v>1463</v>
      </c>
      <c r="B4" s="9" t="s">
        <v>1459</v>
      </c>
      <c r="C4" s="9" t="s">
        <v>1464</v>
      </c>
    </row>
    <row r="5" customFormat="false" ht="15" hidden="false" customHeight="false" outlineLevel="0" collapsed="false">
      <c r="A5" s="9" t="s">
        <v>1465</v>
      </c>
      <c r="B5" s="9" t="s">
        <v>1466</v>
      </c>
      <c r="C5" s="9" t="s">
        <v>1467</v>
      </c>
    </row>
    <row r="6" customFormat="false" ht="23.85" hidden="false" customHeight="false" outlineLevel="0" collapsed="false">
      <c r="A6" s="9" t="s">
        <v>1465</v>
      </c>
      <c r="B6" s="9" t="s">
        <v>1468</v>
      </c>
      <c r="C6" s="9" t="s">
        <v>1469</v>
      </c>
    </row>
    <row r="7" customFormat="false" ht="15" hidden="false" customHeight="false" outlineLevel="0" collapsed="false">
      <c r="A7" s="9" t="s">
        <v>1465</v>
      </c>
      <c r="B7" s="9" t="s">
        <v>1468</v>
      </c>
      <c r="C7" s="9" t="s">
        <v>1470</v>
      </c>
    </row>
    <row r="8" customFormat="false" ht="15" hidden="false" customHeight="false" outlineLevel="0" collapsed="false">
      <c r="A8" s="9" t="s">
        <v>1465</v>
      </c>
      <c r="B8" s="9" t="s">
        <v>1466</v>
      </c>
      <c r="C8" s="9" t="s">
        <v>1471</v>
      </c>
    </row>
    <row r="9" customFormat="false" ht="15" hidden="false" customHeight="false" outlineLevel="0" collapsed="false">
      <c r="A9" s="9" t="s">
        <v>1472</v>
      </c>
      <c r="B9" s="9" t="s">
        <v>1473</v>
      </c>
      <c r="C9" s="9" t="s">
        <v>1474</v>
      </c>
    </row>
    <row r="10" customFormat="false" ht="15" hidden="false" customHeight="false" outlineLevel="0" collapsed="false">
      <c r="A10" s="9" t="s">
        <v>1472</v>
      </c>
      <c r="B10" s="9" t="s">
        <v>1466</v>
      </c>
      <c r="C10" s="9" t="s">
        <v>1475</v>
      </c>
    </row>
    <row r="11" customFormat="false" ht="15" hidden="false" customHeight="false" outlineLevel="0" collapsed="false">
      <c r="A11" s="9" t="s">
        <v>1472</v>
      </c>
      <c r="B11" s="9" t="s">
        <v>1466</v>
      </c>
      <c r="C11" s="9" t="s">
        <v>1476</v>
      </c>
    </row>
    <row r="12" customFormat="false" ht="15" hidden="false" customHeight="false" outlineLevel="0" collapsed="false">
      <c r="A12" s="9" t="s">
        <v>1472</v>
      </c>
      <c r="B12" s="9" t="s">
        <v>1466</v>
      </c>
      <c r="C12" s="9" t="s">
        <v>1477</v>
      </c>
    </row>
    <row r="13" customFormat="false" ht="15" hidden="false" customHeight="false" outlineLevel="0" collapsed="false">
      <c r="A13" s="9" t="s">
        <v>1472</v>
      </c>
      <c r="B13" s="9" t="s">
        <v>1468</v>
      </c>
      <c r="C13" s="9" t="s">
        <v>1478</v>
      </c>
    </row>
    <row r="14" customFormat="false" ht="15" hidden="false" customHeight="false" outlineLevel="0" collapsed="false">
      <c r="A14" s="9" t="s">
        <v>1472</v>
      </c>
      <c r="B14" s="9" t="s">
        <v>1122</v>
      </c>
      <c r="C14" s="9" t="s">
        <v>1479</v>
      </c>
    </row>
    <row r="15" customFormat="false" ht="15" hidden="false" customHeight="false" outlineLevel="0" collapsed="false">
      <c r="A15" s="9" t="s">
        <v>1472</v>
      </c>
      <c r="B15" s="9" t="s">
        <v>1468</v>
      </c>
      <c r="C15" s="9" t="s">
        <v>1480</v>
      </c>
    </row>
    <row r="16" customFormat="false" ht="15" hidden="false" customHeight="false" outlineLevel="0" collapsed="false">
      <c r="A16" s="9" t="s">
        <v>1472</v>
      </c>
      <c r="B16" s="9" t="s">
        <v>1122</v>
      </c>
      <c r="C16" s="9" t="s">
        <v>1481</v>
      </c>
    </row>
    <row r="17" customFormat="false" ht="15" hidden="false" customHeight="false" outlineLevel="0" collapsed="false">
      <c r="A17" s="9" t="s">
        <v>1482</v>
      </c>
      <c r="B17" s="9" t="s">
        <v>1466</v>
      </c>
      <c r="C17" s="9" t="s">
        <v>1483</v>
      </c>
    </row>
    <row r="18" customFormat="false" ht="15" hidden="false" customHeight="false" outlineLevel="0" collapsed="false">
      <c r="A18" s="9" t="s">
        <v>1482</v>
      </c>
      <c r="B18" s="9" t="s">
        <v>1468</v>
      </c>
      <c r="C18" s="9" t="s">
        <v>1484</v>
      </c>
    </row>
    <row r="19" customFormat="false" ht="15" hidden="false" customHeight="false" outlineLevel="0" collapsed="false">
      <c r="A19" s="9" t="s">
        <v>1482</v>
      </c>
      <c r="B19" s="9" t="s">
        <v>1468</v>
      </c>
      <c r="C19" s="9" t="s">
        <v>1485</v>
      </c>
    </row>
    <row r="20" customFormat="false" ht="15" hidden="false" customHeight="false" outlineLevel="0" collapsed="false">
      <c r="A20" s="9" t="s">
        <v>1486</v>
      </c>
      <c r="B20" s="9" t="s">
        <v>1466</v>
      </c>
      <c r="C20" s="9" t="s">
        <v>1487</v>
      </c>
    </row>
    <row r="21" customFormat="false" ht="15" hidden="false" customHeight="false" outlineLevel="0" collapsed="false">
      <c r="A21" s="9" t="s">
        <v>1486</v>
      </c>
      <c r="B21" s="9" t="s">
        <v>1468</v>
      </c>
      <c r="C21" s="9" t="s">
        <v>1488</v>
      </c>
    </row>
    <row r="22" customFormat="false" ht="15" hidden="false" customHeight="false" outlineLevel="0" collapsed="false">
      <c r="A22" s="9" t="s">
        <v>1486</v>
      </c>
      <c r="B22" s="9" t="s">
        <v>1122</v>
      </c>
      <c r="C22" s="9" t="s">
        <v>1489</v>
      </c>
    </row>
    <row r="23" customFormat="false" ht="15" hidden="false" customHeight="false" outlineLevel="0" collapsed="false">
      <c r="A23" s="9" t="s">
        <v>1486</v>
      </c>
      <c r="B23" s="9" t="s">
        <v>1466</v>
      </c>
      <c r="C23" s="9" t="s">
        <v>1490</v>
      </c>
    </row>
    <row r="24" customFormat="false" ht="15" hidden="false" customHeight="false" outlineLevel="0" collapsed="false">
      <c r="A24" s="9" t="s">
        <v>1486</v>
      </c>
      <c r="B24" s="9" t="s">
        <v>1468</v>
      </c>
      <c r="C24" s="9" t="s">
        <v>1491</v>
      </c>
    </row>
    <row r="25" customFormat="false" ht="15" hidden="false" customHeight="false" outlineLevel="0" collapsed="false">
      <c r="A25" s="9" t="s">
        <v>1486</v>
      </c>
      <c r="B25" s="9" t="s">
        <v>1122</v>
      </c>
      <c r="C25" s="9" t="s">
        <v>1492</v>
      </c>
    </row>
    <row r="26" customFormat="false" ht="15" hidden="false" customHeight="false" outlineLevel="0" collapsed="false">
      <c r="A26" s="9" t="s">
        <v>1493</v>
      </c>
      <c r="B26" s="9" t="s">
        <v>1468</v>
      </c>
      <c r="C26" s="9" t="s">
        <v>1494</v>
      </c>
    </row>
    <row r="27" customFormat="false" ht="23.85" hidden="false" customHeight="false" outlineLevel="0" collapsed="false">
      <c r="A27" s="9" t="s">
        <v>1493</v>
      </c>
      <c r="B27" s="9" t="s">
        <v>1166</v>
      </c>
      <c r="C27" s="9" t="s">
        <v>1495</v>
      </c>
    </row>
    <row r="28" customFormat="false" ht="15" hidden="false" customHeight="false" outlineLevel="0" collapsed="false">
      <c r="A28" s="9" t="s">
        <v>1496</v>
      </c>
      <c r="B28" s="9" t="s">
        <v>1466</v>
      </c>
      <c r="C28" s="9" t="s">
        <v>1497</v>
      </c>
    </row>
    <row r="29" customFormat="false" ht="15" hidden="false" customHeight="false" outlineLevel="0" collapsed="false">
      <c r="A29" s="9" t="s">
        <v>1496</v>
      </c>
      <c r="B29" s="9" t="s">
        <v>1468</v>
      </c>
      <c r="C29" s="9" t="s">
        <v>1498</v>
      </c>
    </row>
    <row r="30" customFormat="false" ht="15" hidden="false" customHeight="false" outlineLevel="0" collapsed="false">
      <c r="A30" s="9" t="s">
        <v>1496</v>
      </c>
      <c r="B30" s="9" t="s">
        <v>1466</v>
      </c>
      <c r="C30" s="9" t="s">
        <v>1499</v>
      </c>
    </row>
    <row r="31" customFormat="false" ht="23.85" hidden="false" customHeight="false" outlineLevel="0" collapsed="false">
      <c r="A31" s="9" t="s">
        <v>1496</v>
      </c>
      <c r="B31" s="9" t="s">
        <v>1468</v>
      </c>
      <c r="C31" s="9" t="s">
        <v>1500</v>
      </c>
    </row>
    <row r="32" customFormat="false" ht="15" hidden="false" customHeight="false" outlineLevel="0" collapsed="false">
      <c r="A32" s="9" t="s">
        <v>1496</v>
      </c>
      <c r="B32" s="9"/>
      <c r="C32" s="9" t="s">
        <v>1501</v>
      </c>
    </row>
    <row r="33" customFormat="false" ht="15" hidden="false" customHeight="false" outlineLevel="0" collapsed="false">
      <c r="A33" s="9" t="s">
        <v>1502</v>
      </c>
      <c r="B33" s="9" t="s">
        <v>1466</v>
      </c>
      <c r="C33" s="9" t="s">
        <v>1503</v>
      </c>
    </row>
    <row r="34" customFormat="false" ht="15" hidden="false" customHeight="false" outlineLevel="0" collapsed="false">
      <c r="A34" s="9" t="s">
        <v>1502</v>
      </c>
      <c r="B34" s="9" t="s">
        <v>1468</v>
      </c>
      <c r="C34" s="9" t="s">
        <v>1504</v>
      </c>
    </row>
    <row r="35" customFormat="false" ht="15" hidden="false" customHeight="false" outlineLevel="0" collapsed="false">
      <c r="A35" s="9" t="s">
        <v>1502</v>
      </c>
      <c r="B35" s="9" t="s">
        <v>1468</v>
      </c>
      <c r="C35" s="9" t="s">
        <v>1505</v>
      </c>
    </row>
    <row r="36" customFormat="false" ht="15" hidden="false" customHeight="false" outlineLevel="0" collapsed="false">
      <c r="A36" s="9" t="s">
        <v>1506</v>
      </c>
      <c r="B36" s="9" t="s">
        <v>1466</v>
      </c>
      <c r="C36" s="9" t="s">
        <v>1507</v>
      </c>
    </row>
    <row r="37" customFormat="false" ht="15" hidden="false" customHeight="false" outlineLevel="0" collapsed="false">
      <c r="A37" s="9" t="s">
        <v>1506</v>
      </c>
      <c r="B37" s="9" t="s">
        <v>1468</v>
      </c>
      <c r="C37" s="9" t="s">
        <v>1508</v>
      </c>
    </row>
    <row r="38" customFormat="false" ht="15" hidden="false" customHeight="false" outlineLevel="0" collapsed="false">
      <c r="A38" s="9" t="s">
        <v>1506</v>
      </c>
      <c r="B38" s="9" t="s">
        <v>1468</v>
      </c>
      <c r="C38" s="9" t="s">
        <v>1509</v>
      </c>
    </row>
    <row r="39" customFormat="false" ht="15" hidden="false" customHeight="false" outlineLevel="0" collapsed="false">
      <c r="A39" s="9" t="s">
        <v>1510</v>
      </c>
      <c r="B39" s="9" t="s">
        <v>1466</v>
      </c>
      <c r="C39" s="9" t="s">
        <v>1511</v>
      </c>
    </row>
    <row r="40" customFormat="false" ht="15" hidden="false" customHeight="false" outlineLevel="0" collapsed="false">
      <c r="A40" s="9" t="s">
        <v>1510</v>
      </c>
      <c r="B40" s="9" t="s">
        <v>1468</v>
      </c>
      <c r="C40" s="9" t="s">
        <v>1512</v>
      </c>
    </row>
    <row r="41" customFormat="false" ht="15" hidden="false" customHeight="false" outlineLevel="0" collapsed="false">
      <c r="A41" s="9" t="s">
        <v>1510</v>
      </c>
      <c r="B41" s="9" t="s">
        <v>1513</v>
      </c>
      <c r="C41" s="9" t="s">
        <v>1514</v>
      </c>
    </row>
    <row r="42" customFormat="false" ht="15" hidden="false" customHeight="false" outlineLevel="0" collapsed="false">
      <c r="A42" s="9" t="s">
        <v>1510</v>
      </c>
      <c r="B42" s="9" t="s">
        <v>1468</v>
      </c>
      <c r="C42" s="9" t="s">
        <v>1515</v>
      </c>
    </row>
    <row r="43" customFormat="false" ht="15" hidden="false" customHeight="false" outlineLevel="0" collapsed="false">
      <c r="A43" s="9" t="s">
        <v>1510</v>
      </c>
      <c r="B43" s="9" t="s">
        <v>1122</v>
      </c>
      <c r="C43" s="9" t="s">
        <v>1516</v>
      </c>
    </row>
    <row r="44" customFormat="false" ht="15" hidden="false" customHeight="false" outlineLevel="0" collapsed="false">
      <c r="A44" s="9" t="s">
        <v>1510</v>
      </c>
      <c r="B44" s="9" t="s">
        <v>1468</v>
      </c>
      <c r="C44" s="9" t="s">
        <v>1517</v>
      </c>
    </row>
    <row r="45" customFormat="false" ht="15" hidden="false" customHeight="false" outlineLevel="0" collapsed="false">
      <c r="A45" s="9" t="s">
        <v>1510</v>
      </c>
      <c r="B45" s="9"/>
      <c r="C45" s="9" t="s">
        <v>1518</v>
      </c>
    </row>
    <row r="46" customFormat="false" ht="23.85" hidden="false" customHeight="false" outlineLevel="0" collapsed="false">
      <c r="A46" s="9" t="s">
        <v>1510</v>
      </c>
      <c r="B46" s="9"/>
      <c r="C46" s="9" t="s">
        <v>1519</v>
      </c>
    </row>
    <row r="47" customFormat="false" ht="15" hidden="false" customHeight="false" outlineLevel="0" collapsed="false">
      <c r="A47" s="9" t="s">
        <v>1510</v>
      </c>
      <c r="B47" s="9"/>
      <c r="C47" s="9" t="s">
        <v>1520</v>
      </c>
    </row>
    <row r="48" customFormat="false" ht="15" hidden="false" customHeight="false" outlineLevel="0" collapsed="false">
      <c r="A48" s="9" t="s">
        <v>1510</v>
      </c>
      <c r="B48" s="9"/>
      <c r="C48" s="9" t="s">
        <v>1521</v>
      </c>
    </row>
    <row r="49" customFormat="false" ht="15" hidden="false" customHeight="false" outlineLevel="0" collapsed="false">
      <c r="A49" s="9" t="s">
        <v>1510</v>
      </c>
      <c r="B49" s="9"/>
      <c r="C49" s="9" t="s">
        <v>1522</v>
      </c>
    </row>
    <row r="50" customFormat="false" ht="15" hidden="false" customHeight="false" outlineLevel="0" collapsed="false">
      <c r="A50" s="9" t="s">
        <v>1523</v>
      </c>
      <c r="B50" s="9" t="s">
        <v>1466</v>
      </c>
      <c r="C50" s="9" t="s">
        <v>1524</v>
      </c>
    </row>
    <row r="51" customFormat="false" ht="15" hidden="false" customHeight="false" outlineLevel="0" collapsed="false">
      <c r="A51" s="9" t="s">
        <v>1525</v>
      </c>
      <c r="B51" s="9" t="s">
        <v>1466</v>
      </c>
      <c r="C51" s="9" t="s">
        <v>1526</v>
      </c>
    </row>
    <row r="52" customFormat="false" ht="15" hidden="false" customHeight="false" outlineLevel="0" collapsed="false">
      <c r="A52" s="9" t="s">
        <v>1525</v>
      </c>
      <c r="B52" s="9" t="s">
        <v>1468</v>
      </c>
      <c r="C52" s="9" t="s">
        <v>1527</v>
      </c>
    </row>
    <row r="53" customFormat="false" ht="15" hidden="false" customHeight="false" outlineLevel="0" collapsed="false">
      <c r="A53" s="9" t="s">
        <v>1525</v>
      </c>
      <c r="B53" s="9" t="s">
        <v>1466</v>
      </c>
      <c r="C53" s="9" t="s">
        <v>1528</v>
      </c>
    </row>
    <row r="54" customFormat="false" ht="15" hidden="false" customHeight="false" outlineLevel="0" collapsed="false">
      <c r="A54" s="9" t="s">
        <v>1525</v>
      </c>
      <c r="B54" s="9" t="s">
        <v>1466</v>
      </c>
      <c r="C54" s="9" t="s">
        <v>1529</v>
      </c>
    </row>
    <row r="55" customFormat="false" ht="15" hidden="false" customHeight="false" outlineLevel="0" collapsed="false">
      <c r="A55" s="9" t="s">
        <v>1525</v>
      </c>
      <c r="B55" s="9" t="s">
        <v>1122</v>
      </c>
      <c r="C55" s="9" t="s">
        <v>1530</v>
      </c>
    </row>
    <row r="56" customFormat="false" ht="15" hidden="false" customHeight="false" outlineLevel="0" collapsed="false">
      <c r="A56" s="9" t="s">
        <v>1525</v>
      </c>
      <c r="B56" s="9" t="s">
        <v>1466</v>
      </c>
      <c r="C56" s="9" t="s">
        <v>1531</v>
      </c>
    </row>
    <row r="57" customFormat="false" ht="15" hidden="false" customHeight="false" outlineLevel="0" collapsed="false">
      <c r="A57" s="9" t="s">
        <v>1525</v>
      </c>
      <c r="B57" s="9" t="s">
        <v>1466</v>
      </c>
      <c r="C57" s="9" t="s">
        <v>1532</v>
      </c>
    </row>
    <row r="58" customFormat="false" ht="15" hidden="false" customHeight="false" outlineLevel="0" collapsed="false">
      <c r="A58" s="9" t="s">
        <v>1525</v>
      </c>
      <c r="B58" s="9"/>
      <c r="C58" s="9" t="s">
        <v>1533</v>
      </c>
    </row>
    <row r="59" customFormat="false" ht="15" hidden="false" customHeight="false" outlineLevel="0" collapsed="false">
      <c r="A59" s="9" t="s">
        <v>1534</v>
      </c>
      <c r="B59" s="9" t="s">
        <v>1466</v>
      </c>
      <c r="C59" s="9" t="s">
        <v>1535</v>
      </c>
    </row>
    <row r="60" customFormat="false" ht="15" hidden="false" customHeight="false" outlineLevel="0" collapsed="false">
      <c r="A60" s="9" t="s">
        <v>1534</v>
      </c>
      <c r="B60" s="9" t="s">
        <v>1466</v>
      </c>
      <c r="C60" s="9" t="s">
        <v>1536</v>
      </c>
    </row>
    <row r="61" customFormat="false" ht="15" hidden="false" customHeight="false" outlineLevel="0" collapsed="false">
      <c r="A61" s="9" t="s">
        <v>1534</v>
      </c>
      <c r="B61" s="9" t="s">
        <v>1466</v>
      </c>
      <c r="C61" s="9" t="s">
        <v>1537</v>
      </c>
    </row>
    <row r="62" customFormat="false" ht="15" hidden="false" customHeight="false" outlineLevel="0" collapsed="false">
      <c r="A62" s="9" t="s">
        <v>1538</v>
      </c>
      <c r="B62" s="9"/>
      <c r="C62" s="9" t="s">
        <v>1539</v>
      </c>
    </row>
    <row r="63" customFormat="false" ht="23.85" hidden="false" customHeight="false" outlineLevel="0" collapsed="false">
      <c r="A63" s="9" t="s">
        <v>1538</v>
      </c>
      <c r="B63" s="9"/>
      <c r="C63" s="9" t="s">
        <v>1540</v>
      </c>
    </row>
    <row r="64" customFormat="false" ht="46.25" hidden="false" customHeight="false" outlineLevel="0" collapsed="false">
      <c r="A64" s="9" t="s">
        <v>1538</v>
      </c>
      <c r="B64" s="9"/>
      <c r="C64" s="9" t="s">
        <v>1541</v>
      </c>
    </row>
    <row r="65" customFormat="false" ht="35.05" hidden="false" customHeight="false" outlineLevel="0" collapsed="false">
      <c r="A65" s="9" t="s">
        <v>1538</v>
      </c>
      <c r="B65" s="9"/>
      <c r="C65" s="9" t="s">
        <v>1542</v>
      </c>
    </row>
    <row r="66" customFormat="false" ht="35.05" hidden="false" customHeight="false" outlineLevel="0" collapsed="false">
      <c r="A66" s="9" t="s">
        <v>1538</v>
      </c>
      <c r="B66" s="9"/>
      <c r="C66" s="9" t="s">
        <v>1543</v>
      </c>
    </row>
    <row r="67" customFormat="false" ht="23.85" hidden="false" customHeight="false" outlineLevel="0" collapsed="false">
      <c r="A67" s="9" t="s">
        <v>1538</v>
      </c>
      <c r="B67" s="9"/>
      <c r="C67" s="9" t="s">
        <v>1544</v>
      </c>
    </row>
    <row r="68" customFormat="false" ht="23.85" hidden="false" customHeight="false" outlineLevel="0" collapsed="false">
      <c r="A68" s="9" t="s">
        <v>1538</v>
      </c>
      <c r="B68" s="9"/>
      <c r="C68" s="9" t="s">
        <v>1545</v>
      </c>
    </row>
    <row r="69" customFormat="false" ht="23.85" hidden="false" customHeight="false" outlineLevel="0" collapsed="false">
      <c r="A69" s="9" t="s">
        <v>1538</v>
      </c>
      <c r="B69" s="9"/>
      <c r="C69" s="9" t="s">
        <v>1546</v>
      </c>
    </row>
    <row r="70" customFormat="false" ht="15" hidden="false" customHeight="false" outlineLevel="0" collapsed="false">
      <c r="A70" s="9" t="s">
        <v>1538</v>
      </c>
      <c r="B70" s="9"/>
      <c r="C70" s="9" t="s">
        <v>1547</v>
      </c>
    </row>
    <row r="71" customFormat="false" ht="15" hidden="false" customHeight="false" outlineLevel="0" collapsed="false">
      <c r="A71" s="9" t="s">
        <v>1538</v>
      </c>
      <c r="B71" s="9"/>
      <c r="C71" s="9" t="s">
        <v>1548</v>
      </c>
    </row>
    <row r="72" customFormat="false" ht="15" hidden="false" customHeight="false" outlineLevel="0" collapsed="false">
      <c r="A72" s="9" t="s">
        <v>1538</v>
      </c>
      <c r="B72" s="9"/>
      <c r="C72" s="9" t="s">
        <v>1549</v>
      </c>
    </row>
    <row r="73" customFormat="false" ht="15" hidden="false" customHeight="false" outlineLevel="0" collapsed="false">
      <c r="A73" s="9" t="s">
        <v>1550</v>
      </c>
      <c r="B73" s="9"/>
      <c r="C73" s="9" t="s">
        <v>1551</v>
      </c>
    </row>
    <row r="74" customFormat="false" ht="15" hidden="false" customHeight="false" outlineLevel="0" collapsed="false">
      <c r="A74" s="9" t="s">
        <v>1550</v>
      </c>
      <c r="B74" s="9"/>
      <c r="C74" s="9" t="s">
        <v>1552</v>
      </c>
    </row>
    <row r="75" customFormat="false" ht="15" hidden="false" customHeight="false" outlineLevel="0" collapsed="false">
      <c r="A75" s="9" t="s">
        <v>1550</v>
      </c>
      <c r="B75" s="9"/>
      <c r="C75" s="9" t="s">
        <v>1553</v>
      </c>
    </row>
    <row r="76" customFormat="false" ht="15" hidden="false" customHeight="false" outlineLevel="0" collapsed="false">
      <c r="A76" s="9" t="s">
        <v>1550</v>
      </c>
      <c r="B76" s="9"/>
      <c r="C76" s="9" t="s">
        <v>1554</v>
      </c>
    </row>
    <row r="77" customFormat="false" ht="15" hidden="false" customHeight="false" outlineLevel="0" collapsed="false">
      <c r="A77" s="9" t="s">
        <v>1550</v>
      </c>
      <c r="B77" s="9"/>
      <c r="C77" s="9" t="s">
        <v>1555</v>
      </c>
    </row>
    <row r="78" customFormat="false" ht="15" hidden="false" customHeight="false" outlineLevel="0" collapsed="false">
      <c r="A78" s="9" t="s">
        <v>1550</v>
      </c>
      <c r="B78" s="9"/>
      <c r="C78" s="9" t="s">
        <v>1556</v>
      </c>
    </row>
    <row r="79" customFormat="false" ht="15" hidden="false" customHeight="false" outlineLevel="0" collapsed="false">
      <c r="A79" s="9" t="s">
        <v>1550</v>
      </c>
      <c r="B79" s="9"/>
      <c r="C79" s="9" t="s">
        <v>1557</v>
      </c>
    </row>
    <row r="80" customFormat="false" ht="15" hidden="false" customHeight="false" outlineLevel="0" collapsed="false">
      <c r="A80" s="9" t="s">
        <v>1550</v>
      </c>
      <c r="B80" s="9"/>
      <c r="C80" s="9" t="s">
        <v>1558</v>
      </c>
    </row>
    <row r="81" customFormat="false" ht="15" hidden="false" customHeight="false" outlineLevel="0" collapsed="false">
      <c r="A81" s="9" t="s">
        <v>1550</v>
      </c>
      <c r="B81" s="9"/>
      <c r="C81" s="9" t="s">
        <v>1559</v>
      </c>
    </row>
    <row r="82" customFormat="false" ht="15" hidden="false" customHeight="false" outlineLevel="0" collapsed="false">
      <c r="A82" s="9" t="s">
        <v>1550</v>
      </c>
      <c r="B82" s="9"/>
      <c r="C82" s="9" t="s">
        <v>1560</v>
      </c>
    </row>
    <row r="83" customFormat="false" ht="15" hidden="false" customHeight="false" outlineLevel="0" collapsed="false">
      <c r="A83" s="9" t="s">
        <v>1561</v>
      </c>
      <c r="B83" s="9"/>
      <c r="C83" s="9" t="s">
        <v>1562</v>
      </c>
    </row>
    <row r="84" customFormat="false" ht="15" hidden="false" customHeight="false" outlineLevel="0" collapsed="false">
      <c r="A84" s="9" t="s">
        <v>1561</v>
      </c>
      <c r="B84" s="9"/>
      <c r="C84" s="9" t="s">
        <v>1563</v>
      </c>
    </row>
    <row r="85" customFormat="false" ht="15" hidden="false" customHeight="false" outlineLevel="0" collapsed="false">
      <c r="A85" s="9" t="s">
        <v>1561</v>
      </c>
      <c r="B85" s="9"/>
      <c r="C85" s="9" t="s">
        <v>1564</v>
      </c>
    </row>
    <row r="86" customFormat="false" ht="15" hidden="false" customHeight="false" outlineLevel="0" collapsed="false">
      <c r="A86" s="9" t="s">
        <v>1561</v>
      </c>
      <c r="B86" s="9"/>
      <c r="C86" s="9" t="s">
        <v>1565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60"/>
    <col collapsed="false" customWidth="true" hidden="false" outlineLevel="0" max="4" min="4" style="0" width="40"/>
  </cols>
  <sheetData>
    <row r="1" customFormat="false" ht="15" hidden="false" customHeight="false" outlineLevel="0" collapsed="false">
      <c r="A1" s="8" t="s">
        <v>1566</v>
      </c>
      <c r="B1" s="8" t="s">
        <v>1567</v>
      </c>
      <c r="C1" s="8" t="s">
        <v>1568</v>
      </c>
      <c r="D1" s="8" t="s">
        <v>1015</v>
      </c>
    </row>
    <row r="2" customFormat="false" ht="23.85" hidden="false" customHeight="false" outlineLevel="0" collapsed="false">
      <c r="A2" s="9" t="s">
        <v>483</v>
      </c>
      <c r="B2" s="9" t="s">
        <v>974</v>
      </c>
      <c r="C2" s="9" t="s">
        <v>484</v>
      </c>
      <c r="D2" s="9" t="s">
        <v>1569</v>
      </c>
    </row>
    <row r="3" customFormat="false" ht="15" hidden="false" customHeight="false" outlineLevel="0" collapsed="false">
      <c r="A3" s="9" t="s">
        <v>527</v>
      </c>
      <c r="B3" s="9" t="s">
        <v>532</v>
      </c>
      <c r="C3" s="9" t="s">
        <v>528</v>
      </c>
      <c r="D3" s="9" t="s">
        <v>1570</v>
      </c>
    </row>
    <row r="4" customFormat="false" ht="15" hidden="false" customHeight="false" outlineLevel="0" collapsed="false">
      <c r="A4" s="9" t="s">
        <v>529</v>
      </c>
      <c r="B4" s="9" t="s">
        <v>974</v>
      </c>
      <c r="C4" s="9" t="s">
        <v>484</v>
      </c>
      <c r="D4" s="9" t="s">
        <v>1570</v>
      </c>
    </row>
    <row r="5" customFormat="false" ht="15" hidden="false" customHeight="false" outlineLevel="0" collapsed="false">
      <c r="A5" s="9" t="s">
        <v>1571</v>
      </c>
      <c r="B5" s="9" t="s">
        <v>1572</v>
      </c>
      <c r="C5" s="9" t="s">
        <v>1573</v>
      </c>
      <c r="D5" s="9" t="s">
        <v>1574</v>
      </c>
    </row>
    <row r="6" customFormat="false" ht="23.85" hidden="false" customHeight="false" outlineLevel="0" collapsed="false">
      <c r="A6" s="9" t="s">
        <v>1575</v>
      </c>
      <c r="B6" s="9" t="s">
        <v>1572</v>
      </c>
      <c r="C6" s="9" t="s">
        <v>1576</v>
      </c>
      <c r="D6" s="9" t="s">
        <v>1577</v>
      </c>
    </row>
    <row r="7" customFormat="false" ht="15" hidden="false" customHeight="false" outlineLevel="0" collapsed="false">
      <c r="A7" s="9" t="s">
        <v>1578</v>
      </c>
      <c r="B7" s="9" t="s">
        <v>1579</v>
      </c>
      <c r="C7" s="9" t="s">
        <v>1580</v>
      </c>
      <c r="D7" s="9" t="s">
        <v>1581</v>
      </c>
    </row>
    <row r="8" customFormat="false" ht="15" hidden="false" customHeight="false" outlineLevel="0" collapsed="false">
      <c r="A8" s="9" t="s">
        <v>1582</v>
      </c>
      <c r="B8" s="9" t="s">
        <v>1583</v>
      </c>
      <c r="C8" s="9" t="s">
        <v>1584</v>
      </c>
      <c r="D8" s="9" t="s">
        <v>1585</v>
      </c>
    </row>
    <row r="9" customFormat="false" ht="15" hidden="false" customHeight="false" outlineLevel="0" collapsed="false">
      <c r="A9" s="9" t="s">
        <v>1586</v>
      </c>
      <c r="B9" s="9" t="s">
        <v>1587</v>
      </c>
      <c r="C9" s="9" t="s">
        <v>1588</v>
      </c>
      <c r="D9" s="9" t="s">
        <v>1589</v>
      </c>
    </row>
    <row r="10" customFormat="false" ht="23.85" hidden="false" customHeight="false" outlineLevel="0" collapsed="false">
      <c r="A10" s="9" t="s">
        <v>1590</v>
      </c>
      <c r="B10" s="9" t="s">
        <v>160</v>
      </c>
      <c r="C10" s="9" t="s">
        <v>1591</v>
      </c>
      <c r="D10" s="9" t="s">
        <v>1592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6"/>
    <col collapsed="false" customWidth="true" hidden="false" outlineLevel="0" max="4" min="4" style="0" width="56"/>
    <col collapsed="false" customWidth="true" hidden="false" outlineLevel="0" max="5" min="5" style="0" width="26"/>
    <col collapsed="false" customWidth="true" hidden="false" outlineLevel="0" max="6" min="6" style="0" width="56"/>
  </cols>
  <sheetData>
    <row r="1" customFormat="false" ht="15" hidden="false" customHeight="false" outlineLevel="0" collapsed="false">
      <c r="A1" s="2" t="s">
        <v>1593</v>
      </c>
    </row>
    <row r="3" customFormat="false" ht="15" hidden="false" customHeight="false" outlineLevel="0" collapsed="false">
      <c r="A3" s="8" t="s">
        <v>1594</v>
      </c>
      <c r="B3" s="8" t="s">
        <v>1595</v>
      </c>
      <c r="C3" s="8" t="s">
        <v>1596</v>
      </c>
      <c r="D3" s="8" t="s">
        <v>1597</v>
      </c>
      <c r="E3" s="8" t="s">
        <v>1598</v>
      </c>
      <c r="F3" s="8" t="s">
        <v>1599</v>
      </c>
    </row>
    <row r="4" customFormat="false" ht="15" hidden="false" customHeight="false" outlineLevel="0" collapsed="false">
      <c r="A4" s="9" t="s">
        <v>1600</v>
      </c>
      <c r="B4" s="9" t="s">
        <v>1601</v>
      </c>
      <c r="C4" s="9" t="s">
        <v>1602</v>
      </c>
      <c r="D4" s="9" t="s">
        <v>1603</v>
      </c>
      <c r="E4" s="9" t="s">
        <v>46</v>
      </c>
      <c r="F4" s="9" t="s">
        <v>1604</v>
      </c>
    </row>
    <row r="5" customFormat="false" ht="15" hidden="false" customHeight="false" outlineLevel="0" collapsed="false">
      <c r="A5" s="9" t="s">
        <v>1605</v>
      </c>
      <c r="B5" s="9" t="s">
        <v>1601</v>
      </c>
      <c r="C5" s="9" t="s">
        <v>1606</v>
      </c>
      <c r="D5" s="9" t="s">
        <v>1607</v>
      </c>
      <c r="E5" s="9" t="s">
        <v>103</v>
      </c>
      <c r="F5" s="9" t="s">
        <v>1608</v>
      </c>
    </row>
    <row r="6" customFormat="false" ht="23.85" hidden="false" customHeight="false" outlineLevel="0" collapsed="false">
      <c r="A6" s="9" t="s">
        <v>1609</v>
      </c>
      <c r="B6" s="9" t="s">
        <v>1601</v>
      </c>
      <c r="C6" s="9" t="s">
        <v>1610</v>
      </c>
      <c r="D6" s="9" t="s">
        <v>1611</v>
      </c>
      <c r="E6" s="9" t="s">
        <v>1612</v>
      </c>
      <c r="F6" s="9" t="s">
        <v>1613</v>
      </c>
    </row>
    <row r="7" customFormat="false" ht="15" hidden="false" customHeight="false" outlineLevel="0" collapsed="false">
      <c r="A7" s="9" t="s">
        <v>1614</v>
      </c>
      <c r="B7" s="9" t="s">
        <v>1601</v>
      </c>
      <c r="C7" s="9" t="s">
        <v>1615</v>
      </c>
      <c r="D7" s="9" t="s">
        <v>1616</v>
      </c>
      <c r="E7" s="9" t="s">
        <v>1617</v>
      </c>
      <c r="F7" s="9" t="s">
        <v>1618</v>
      </c>
    </row>
    <row r="8" customFormat="false" ht="15" hidden="false" customHeight="false" outlineLevel="0" collapsed="false">
      <c r="A8" s="9" t="s">
        <v>1619</v>
      </c>
      <c r="B8" s="9" t="s">
        <v>1601</v>
      </c>
      <c r="C8" s="9" t="s">
        <v>1620</v>
      </c>
      <c r="D8" s="9" t="s">
        <v>1621</v>
      </c>
      <c r="E8" s="9" t="s">
        <v>1622</v>
      </c>
      <c r="F8" s="9" t="s">
        <v>1623</v>
      </c>
    </row>
    <row r="9" customFormat="false" ht="15" hidden="false" customHeight="false" outlineLevel="0" collapsed="false">
      <c r="A9" s="9" t="s">
        <v>1624</v>
      </c>
      <c r="B9" s="9" t="s">
        <v>1601</v>
      </c>
      <c r="C9" s="9" t="s">
        <v>1625</v>
      </c>
      <c r="D9" s="9" t="s">
        <v>1626</v>
      </c>
      <c r="E9" s="9" t="s">
        <v>1627</v>
      </c>
      <c r="F9" s="9" t="s">
        <v>1628</v>
      </c>
    </row>
    <row r="10" customFormat="false" ht="15" hidden="false" customHeight="false" outlineLevel="0" collapsed="false">
      <c r="A10" s="9" t="s">
        <v>1629</v>
      </c>
      <c r="B10" s="9" t="s">
        <v>1601</v>
      </c>
      <c r="C10" s="9" t="s">
        <v>1625</v>
      </c>
      <c r="D10" s="9" t="s">
        <v>1630</v>
      </c>
      <c r="E10" s="9" t="s">
        <v>1627</v>
      </c>
      <c r="F10" s="9" t="s">
        <v>1631</v>
      </c>
    </row>
    <row r="11" customFormat="false" ht="15" hidden="false" customHeight="false" outlineLevel="0" collapsed="false">
      <c r="A11" s="9" t="s">
        <v>1632</v>
      </c>
      <c r="B11" s="9" t="s">
        <v>1601</v>
      </c>
      <c r="C11" s="9" t="s">
        <v>1633</v>
      </c>
      <c r="D11" s="9" t="s">
        <v>1634</v>
      </c>
      <c r="E11" s="9" t="s">
        <v>1617</v>
      </c>
      <c r="F11" s="9" t="s">
        <v>1635</v>
      </c>
    </row>
    <row r="12" customFormat="false" ht="15" hidden="false" customHeight="false" outlineLevel="0" collapsed="false">
      <c r="A12" s="9" t="s">
        <v>1636</v>
      </c>
      <c r="B12" s="9" t="s">
        <v>1601</v>
      </c>
      <c r="C12" s="9" t="s">
        <v>1633</v>
      </c>
      <c r="D12" s="9" t="s">
        <v>1637</v>
      </c>
      <c r="E12" s="9" t="s">
        <v>1638</v>
      </c>
      <c r="F12" s="9" t="s">
        <v>1639</v>
      </c>
    </row>
    <row r="13" customFormat="false" ht="15" hidden="false" customHeight="false" outlineLevel="0" collapsed="false">
      <c r="A13" s="9" t="s">
        <v>1640</v>
      </c>
      <c r="B13" s="9" t="s">
        <v>1601</v>
      </c>
      <c r="C13" s="9" t="s">
        <v>1641</v>
      </c>
      <c r="D13" s="9" t="s">
        <v>1642</v>
      </c>
      <c r="E13" s="9" t="s">
        <v>1643</v>
      </c>
      <c r="F13" s="9" t="s">
        <v>1644</v>
      </c>
    </row>
    <row r="14" customFormat="false" ht="15" hidden="false" customHeight="false" outlineLevel="0" collapsed="false">
      <c r="A14" s="9" t="s">
        <v>1645</v>
      </c>
      <c r="B14" s="9" t="s">
        <v>1601</v>
      </c>
      <c r="C14" s="9" t="s">
        <v>1646</v>
      </c>
      <c r="D14" s="9" t="s">
        <v>1647</v>
      </c>
      <c r="E14" s="9" t="s">
        <v>1648</v>
      </c>
      <c r="F14" s="9" t="s">
        <v>1649</v>
      </c>
    </row>
    <row r="15" customFormat="false" ht="15" hidden="false" customHeight="false" outlineLevel="0" collapsed="false">
      <c r="A15" s="9" t="s">
        <v>1650</v>
      </c>
      <c r="B15" s="9" t="s">
        <v>1601</v>
      </c>
      <c r="C15" s="9" t="s">
        <v>1646</v>
      </c>
      <c r="D15" s="9" t="s">
        <v>1651</v>
      </c>
      <c r="E15" s="9" t="s">
        <v>1648</v>
      </c>
      <c r="F15" s="9" t="s">
        <v>1652</v>
      </c>
    </row>
    <row r="16" customFormat="false" ht="15" hidden="false" customHeight="false" outlineLevel="0" collapsed="false">
      <c r="A16" s="9" t="s">
        <v>1653</v>
      </c>
      <c r="B16" s="9" t="s">
        <v>1601</v>
      </c>
      <c r="C16" s="9" t="s">
        <v>1646</v>
      </c>
      <c r="D16" s="9" t="s">
        <v>1654</v>
      </c>
      <c r="E16" s="9" t="s">
        <v>1648</v>
      </c>
      <c r="F16" s="9" t="s">
        <v>1655</v>
      </c>
    </row>
    <row r="17" customFormat="false" ht="15" hidden="false" customHeight="false" outlineLevel="0" collapsed="false">
      <c r="A17" s="9" t="s">
        <v>1656</v>
      </c>
      <c r="B17" s="9" t="s">
        <v>1601</v>
      </c>
      <c r="C17" s="9" t="s">
        <v>1646</v>
      </c>
      <c r="D17" s="9" t="s">
        <v>1657</v>
      </c>
      <c r="E17" s="9" t="s">
        <v>1658</v>
      </c>
      <c r="F17" s="9" t="s">
        <v>1659</v>
      </c>
    </row>
    <row r="18" customFormat="false" ht="15" hidden="false" customHeight="false" outlineLevel="0" collapsed="false">
      <c r="A18" s="9" t="s">
        <v>1660</v>
      </c>
      <c r="B18" s="9" t="s">
        <v>1601</v>
      </c>
      <c r="C18" s="9" t="s">
        <v>1661</v>
      </c>
      <c r="D18" s="9" t="s">
        <v>1662</v>
      </c>
      <c r="E18" s="9" t="s">
        <v>1663</v>
      </c>
      <c r="F18" s="9" t="s">
        <v>1664</v>
      </c>
    </row>
    <row r="19" customFormat="false" ht="15" hidden="false" customHeight="false" outlineLevel="0" collapsed="false">
      <c r="A19" s="9" t="s">
        <v>1665</v>
      </c>
      <c r="B19" s="9" t="s">
        <v>1601</v>
      </c>
      <c r="C19" s="9" t="s">
        <v>1666</v>
      </c>
      <c r="D19" s="9" t="s">
        <v>1667</v>
      </c>
      <c r="E19" s="9" t="s">
        <v>1627</v>
      </c>
      <c r="F19" s="9" t="s">
        <v>1668</v>
      </c>
    </row>
    <row r="20" customFormat="false" ht="15" hidden="false" customHeight="false" outlineLevel="0" collapsed="false">
      <c r="A20" s="9" t="s">
        <v>1669</v>
      </c>
      <c r="B20" s="9" t="s">
        <v>1670</v>
      </c>
      <c r="C20" s="9" t="s">
        <v>1362</v>
      </c>
      <c r="D20" s="9" t="s">
        <v>1671</v>
      </c>
      <c r="E20" s="9" t="s">
        <v>1672</v>
      </c>
      <c r="F20" s="9" t="s">
        <v>1673</v>
      </c>
    </row>
    <row r="21" customFormat="false" ht="15" hidden="false" customHeight="false" outlineLevel="0" collapsed="false">
      <c r="A21" s="9" t="s">
        <v>1674</v>
      </c>
      <c r="B21" s="9" t="s">
        <v>1670</v>
      </c>
      <c r="C21" s="9" t="s">
        <v>1362</v>
      </c>
      <c r="D21" s="9" t="s">
        <v>1675</v>
      </c>
      <c r="E21" s="9" t="s">
        <v>1672</v>
      </c>
      <c r="F21" s="9" t="s">
        <v>1676</v>
      </c>
    </row>
    <row r="22" customFormat="false" ht="15" hidden="false" customHeight="false" outlineLevel="0" collapsed="false">
      <c r="A22" s="9" t="s">
        <v>1677</v>
      </c>
      <c r="B22" s="9" t="s">
        <v>1670</v>
      </c>
      <c r="C22" s="9" t="s">
        <v>1362</v>
      </c>
      <c r="D22" s="9" t="s">
        <v>1678</v>
      </c>
      <c r="E22" s="9" t="s">
        <v>1672</v>
      </c>
      <c r="F22" s="9" t="s">
        <v>1679</v>
      </c>
    </row>
    <row r="23" customFormat="false" ht="15" hidden="false" customHeight="false" outlineLevel="0" collapsed="false">
      <c r="A23" s="9" t="s">
        <v>1680</v>
      </c>
      <c r="B23" s="9" t="s">
        <v>1670</v>
      </c>
      <c r="C23" s="9" t="s">
        <v>1362</v>
      </c>
      <c r="D23" s="9" t="s">
        <v>1681</v>
      </c>
      <c r="E23" s="9" t="s">
        <v>1672</v>
      </c>
      <c r="F23" s="9" t="s">
        <v>1682</v>
      </c>
    </row>
    <row r="24" customFormat="false" ht="15" hidden="false" customHeight="false" outlineLevel="0" collapsed="false">
      <c r="A24" s="9" t="s">
        <v>1683</v>
      </c>
      <c r="B24" s="9" t="s">
        <v>1670</v>
      </c>
      <c r="C24" s="9" t="s">
        <v>1362</v>
      </c>
      <c r="D24" s="9" t="s">
        <v>1684</v>
      </c>
      <c r="E24" s="9" t="s">
        <v>1672</v>
      </c>
      <c r="F24" s="9" t="s">
        <v>1685</v>
      </c>
    </row>
    <row r="25" customFormat="false" ht="15" hidden="false" customHeight="false" outlineLevel="0" collapsed="false">
      <c r="A25" s="9" t="s">
        <v>1686</v>
      </c>
      <c r="B25" s="9" t="s">
        <v>1670</v>
      </c>
      <c r="C25" s="9" t="s">
        <v>1687</v>
      </c>
      <c r="D25" s="9" t="s">
        <v>1688</v>
      </c>
      <c r="E25" s="9" t="s">
        <v>1689</v>
      </c>
      <c r="F25" s="9" t="s">
        <v>1690</v>
      </c>
    </row>
    <row r="26" customFormat="false" ht="15" hidden="false" customHeight="false" outlineLevel="0" collapsed="false">
      <c r="A26" s="9" t="s">
        <v>1691</v>
      </c>
      <c r="B26" s="9" t="s">
        <v>1670</v>
      </c>
      <c r="C26" s="9" t="s">
        <v>1692</v>
      </c>
      <c r="D26" s="9" t="s">
        <v>1693</v>
      </c>
      <c r="E26" s="9" t="s">
        <v>1689</v>
      </c>
      <c r="F26" s="9" t="s">
        <v>1694</v>
      </c>
    </row>
    <row r="27" customFormat="false" ht="15" hidden="false" customHeight="false" outlineLevel="0" collapsed="false">
      <c r="A27" s="9" t="s">
        <v>1695</v>
      </c>
      <c r="B27" s="9" t="s">
        <v>1696</v>
      </c>
      <c r="C27" s="9" t="s">
        <v>1697</v>
      </c>
      <c r="D27" s="9" t="s">
        <v>1698</v>
      </c>
      <c r="E27" s="9" t="s">
        <v>1699</v>
      </c>
      <c r="F27" s="9" t="s">
        <v>1700</v>
      </c>
    </row>
    <row r="28" customFormat="false" ht="15" hidden="false" customHeight="false" outlineLevel="0" collapsed="false">
      <c r="A28" s="9" t="s">
        <v>1701</v>
      </c>
      <c r="B28" s="9" t="s">
        <v>1696</v>
      </c>
      <c r="C28" s="9" t="s">
        <v>1702</v>
      </c>
      <c r="D28" s="9" t="s">
        <v>1703</v>
      </c>
      <c r="E28" s="9" t="s">
        <v>1704</v>
      </c>
      <c r="F28" s="9" t="s">
        <v>1705</v>
      </c>
    </row>
    <row r="29" customFormat="false" ht="15" hidden="false" customHeight="false" outlineLevel="0" collapsed="false">
      <c r="A29" s="9" t="s">
        <v>1706</v>
      </c>
      <c r="B29" s="9" t="s">
        <v>1696</v>
      </c>
      <c r="C29" s="9" t="s">
        <v>1702</v>
      </c>
      <c r="D29" s="9" t="s">
        <v>1707</v>
      </c>
      <c r="E29" s="9" t="s">
        <v>1648</v>
      </c>
      <c r="F29" s="9" t="s">
        <v>1708</v>
      </c>
    </row>
    <row r="30" customFormat="false" ht="15" hidden="false" customHeight="false" outlineLevel="0" collapsed="false">
      <c r="A30" s="9" t="s">
        <v>1709</v>
      </c>
      <c r="B30" s="9" t="s">
        <v>1696</v>
      </c>
      <c r="C30" s="9" t="s">
        <v>1702</v>
      </c>
      <c r="D30" s="9" t="s">
        <v>1710</v>
      </c>
      <c r="E30" s="9" t="s">
        <v>1711</v>
      </c>
      <c r="F30" s="9" t="s">
        <v>1712</v>
      </c>
    </row>
    <row r="31" customFormat="false" ht="15" hidden="false" customHeight="false" outlineLevel="0" collapsed="false">
      <c r="A31" s="9" t="s">
        <v>1713</v>
      </c>
      <c r="B31" s="9" t="s">
        <v>1696</v>
      </c>
      <c r="C31" s="9" t="s">
        <v>1702</v>
      </c>
      <c r="D31" s="9" t="s">
        <v>1714</v>
      </c>
      <c r="E31" s="9" t="s">
        <v>57</v>
      </c>
      <c r="F31" s="9" t="s">
        <v>1715</v>
      </c>
    </row>
    <row r="32" customFormat="false" ht="15" hidden="false" customHeight="false" outlineLevel="0" collapsed="false">
      <c r="A32" s="9" t="s">
        <v>1716</v>
      </c>
      <c r="B32" s="9" t="s">
        <v>1696</v>
      </c>
      <c r="C32" s="9" t="s">
        <v>1702</v>
      </c>
      <c r="D32" s="9" t="s">
        <v>1717</v>
      </c>
      <c r="E32" s="9" t="s">
        <v>57</v>
      </c>
      <c r="F32" s="9" t="s">
        <v>1718</v>
      </c>
    </row>
    <row r="33" customFormat="false" ht="15" hidden="false" customHeight="false" outlineLevel="0" collapsed="false">
      <c r="A33" s="9" t="s">
        <v>1719</v>
      </c>
      <c r="B33" s="9" t="s">
        <v>1696</v>
      </c>
      <c r="C33" s="9" t="s">
        <v>1720</v>
      </c>
      <c r="D33" s="9" t="s">
        <v>1721</v>
      </c>
      <c r="E33" s="9" t="s">
        <v>1697</v>
      </c>
      <c r="F33" s="9" t="s">
        <v>1722</v>
      </c>
    </row>
    <row r="34" customFormat="false" ht="15" hidden="false" customHeight="false" outlineLevel="0" collapsed="false">
      <c r="A34" s="9" t="s">
        <v>1723</v>
      </c>
      <c r="B34" s="9" t="s">
        <v>1696</v>
      </c>
      <c r="C34" s="9" t="s">
        <v>1724</v>
      </c>
      <c r="D34" s="9" t="s">
        <v>1725</v>
      </c>
      <c r="E34" s="9" t="s">
        <v>70</v>
      </c>
      <c r="F34" s="9" t="s">
        <v>1726</v>
      </c>
    </row>
    <row r="35" customFormat="false" ht="15" hidden="false" customHeight="false" outlineLevel="0" collapsed="false">
      <c r="A35" s="9" t="s">
        <v>1727</v>
      </c>
      <c r="B35" s="9" t="s">
        <v>1696</v>
      </c>
      <c r="C35" s="9" t="s">
        <v>1728</v>
      </c>
      <c r="D35" s="9" t="s">
        <v>1729</v>
      </c>
      <c r="E35" s="9" t="s">
        <v>1730</v>
      </c>
      <c r="F35" s="9" t="s">
        <v>1731</v>
      </c>
    </row>
    <row r="36" customFormat="false" ht="15" hidden="false" customHeight="false" outlineLevel="0" collapsed="false">
      <c r="A36" s="9" t="s">
        <v>1732</v>
      </c>
      <c r="B36" s="9" t="s">
        <v>1733</v>
      </c>
      <c r="C36" s="9" t="s">
        <v>1734</v>
      </c>
      <c r="D36" s="9" t="s">
        <v>1735</v>
      </c>
      <c r="E36" s="9" t="s">
        <v>57</v>
      </c>
      <c r="F36" s="9" t="s">
        <v>1736</v>
      </c>
    </row>
    <row r="37" customFormat="false" ht="15" hidden="false" customHeight="false" outlineLevel="0" collapsed="false">
      <c r="A37" s="9" t="s">
        <v>1737</v>
      </c>
      <c r="B37" s="9" t="s">
        <v>1733</v>
      </c>
      <c r="C37" s="9" t="s">
        <v>1394</v>
      </c>
      <c r="D37" s="9" t="s">
        <v>1738</v>
      </c>
      <c r="E37" s="9" t="s">
        <v>57</v>
      </c>
      <c r="F37" s="9" t="s">
        <v>1739</v>
      </c>
    </row>
    <row r="38" customFormat="false" ht="15" hidden="false" customHeight="false" outlineLevel="0" collapsed="false">
      <c r="A38" s="9" t="s">
        <v>1740</v>
      </c>
      <c r="B38" s="9" t="s">
        <v>1733</v>
      </c>
      <c r="C38" s="9" t="s">
        <v>1661</v>
      </c>
      <c r="D38" s="9" t="s">
        <v>1741</v>
      </c>
      <c r="E38" s="9" t="s">
        <v>57</v>
      </c>
      <c r="F38" s="9" t="s">
        <v>1742</v>
      </c>
    </row>
    <row r="39" customFormat="false" ht="15" hidden="false" customHeight="false" outlineLevel="0" collapsed="false">
      <c r="A39" s="9" t="s">
        <v>1743</v>
      </c>
      <c r="B39" s="9" t="s">
        <v>1733</v>
      </c>
      <c r="C39" s="9" t="s">
        <v>1387</v>
      </c>
      <c r="D39" s="9" t="s">
        <v>1744</v>
      </c>
      <c r="E39" s="9" t="s">
        <v>57</v>
      </c>
      <c r="F39" s="9" t="s">
        <v>1745</v>
      </c>
    </row>
    <row r="40" customFormat="false" ht="15" hidden="false" customHeight="false" outlineLevel="0" collapsed="false">
      <c r="A40" s="9" t="s">
        <v>1746</v>
      </c>
      <c r="B40" s="9" t="s">
        <v>1733</v>
      </c>
      <c r="C40" s="9" t="s">
        <v>1288</v>
      </c>
      <c r="D40" s="9" t="s">
        <v>1747</v>
      </c>
      <c r="E40" s="9" t="s">
        <v>70</v>
      </c>
      <c r="F40" s="9" t="s">
        <v>1748</v>
      </c>
    </row>
    <row r="41" customFormat="false" ht="15" hidden="false" customHeight="false" outlineLevel="0" collapsed="false">
      <c r="A41" s="9" t="s">
        <v>1749</v>
      </c>
      <c r="B41" s="9" t="s">
        <v>1733</v>
      </c>
      <c r="C41" s="9" t="s">
        <v>1750</v>
      </c>
      <c r="D41" s="9" t="s">
        <v>1751</v>
      </c>
      <c r="E41" s="9" t="s">
        <v>103</v>
      </c>
      <c r="F41" s="9" t="s">
        <v>1752</v>
      </c>
    </row>
    <row r="42" customFormat="false" ht="15" hidden="false" customHeight="false" outlineLevel="0" collapsed="false">
      <c r="A42" s="9" t="s">
        <v>1753</v>
      </c>
      <c r="B42" s="9" t="s">
        <v>1754</v>
      </c>
      <c r="C42" s="9" t="s">
        <v>1595</v>
      </c>
      <c r="D42" s="9" t="s">
        <v>1755</v>
      </c>
      <c r="E42" s="9" t="s">
        <v>1754</v>
      </c>
      <c r="F42" s="9" t="s">
        <v>1756</v>
      </c>
    </row>
    <row r="43" customFormat="false" ht="15" hidden="false" customHeight="false" outlineLevel="0" collapsed="false">
      <c r="A43" s="9" t="s">
        <v>1757</v>
      </c>
      <c r="B43" s="9" t="s">
        <v>1754</v>
      </c>
      <c r="C43" s="9" t="s">
        <v>1758</v>
      </c>
      <c r="D43" s="9" t="s">
        <v>1759</v>
      </c>
      <c r="E43" s="9" t="s">
        <v>1672</v>
      </c>
      <c r="F43" s="9" t="s">
        <v>1760</v>
      </c>
    </row>
    <row r="44" customFormat="false" ht="15" hidden="false" customHeight="false" outlineLevel="0" collapsed="false">
      <c r="A44" s="9" t="s">
        <v>1761</v>
      </c>
      <c r="B44" s="9" t="s">
        <v>1754</v>
      </c>
      <c r="C44" s="9" t="s">
        <v>1762</v>
      </c>
      <c r="D44" s="9" t="s">
        <v>1763</v>
      </c>
      <c r="E44" s="9" t="s">
        <v>1764</v>
      </c>
      <c r="F44" s="9" t="s">
        <v>1765</v>
      </c>
    </row>
    <row r="45" customFormat="false" ht="15" hidden="false" customHeight="false" outlineLevel="0" collapsed="false">
      <c r="A45" s="9" t="s">
        <v>1766</v>
      </c>
      <c r="B45" s="9" t="s">
        <v>1754</v>
      </c>
      <c r="C45" s="9" t="s">
        <v>1767</v>
      </c>
      <c r="D45" s="9" t="s">
        <v>1768</v>
      </c>
      <c r="E45" s="9" t="s">
        <v>1769</v>
      </c>
      <c r="F45" s="9" t="s">
        <v>1770</v>
      </c>
    </row>
    <row r="46" customFormat="false" ht="15" hidden="false" customHeight="false" outlineLevel="0" collapsed="false">
      <c r="A46" s="9" t="s">
        <v>1771</v>
      </c>
      <c r="B46" s="9" t="s">
        <v>1754</v>
      </c>
      <c r="C46" s="9" t="s">
        <v>1772</v>
      </c>
      <c r="D46" s="9" t="s">
        <v>1773</v>
      </c>
      <c r="E46" s="9" t="s">
        <v>1672</v>
      </c>
      <c r="F46" s="9" t="s">
        <v>1774</v>
      </c>
    </row>
    <row r="47" customFormat="false" ht="15" hidden="false" customHeight="false" outlineLevel="0" collapsed="false">
      <c r="A47" s="9" t="s">
        <v>1775</v>
      </c>
      <c r="B47" s="9" t="s">
        <v>1776</v>
      </c>
      <c r="C47" s="9" t="s">
        <v>1777</v>
      </c>
      <c r="D47" s="9" t="s">
        <v>1778</v>
      </c>
      <c r="E47" s="9" t="s">
        <v>1779</v>
      </c>
      <c r="F47" s="9" t="s">
        <v>1780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2026-09-11T09:01:26Z</dcterms:created>
  <dc:creator>openpyxl</dc:creator>
  <dc:description/>
  <dc:language>en-US</dc:language>
  <cp:lastModifiedBy/>
  <dcterms:modified xsi:type="dcterms:W3CDTF">2026-09-11T09:01:26Z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